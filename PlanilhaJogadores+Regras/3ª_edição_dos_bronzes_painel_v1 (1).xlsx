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ia-me" sheetId="1" r:id="rId4"/>
    <sheet state="visible" name="Dashboard" sheetId="2" r:id="rId5"/>
    <sheet state="visible" name="Sorteio de Capitães" sheetId="3" r:id="rId6"/>
    <sheet state="visible" name="Draft" sheetId="4" r:id="rId7"/>
    <sheet state="visible" name="Base Jogadores" sheetId="5" r:id="rId8"/>
    <sheet state="visible" name="Valores por Elo" sheetId="6" r:id="rId9"/>
    <sheet state="visible" name="Respostas (original)" sheetId="7" r:id="rId10"/>
  </sheets>
  <definedNames>
    <definedName hidden="1" localSheetId="4" name="_xlnm._FilterDatabase">'Base Jogadores'!$A$1:$M$31</definedName>
  </definedNames>
  <calcPr/>
  <extLst>
    <ext uri="GoogleSheetsCustomDataVersion2">
      <go:sheetsCustomData xmlns:go="http://customooxmlschemas.google.com/" r:id="rId11" roundtripDataChecksum="/WiI6EmYFYGWS1zVgvzHRd5B4COKaBVkyBCQMBDaGGQ="/>
    </ext>
  </extLst>
</workbook>
</file>

<file path=xl/sharedStrings.xml><?xml version="1.0" encoding="utf-8"?>
<sst xmlns="http://schemas.openxmlformats.org/spreadsheetml/2006/main" count="600" uniqueCount="201">
  <si>
    <t>3ª Edição dos Bronzes — Painel do Torneio</t>
  </si>
  <si>
    <t>Guia rápido de uso desta planilha</t>
  </si>
  <si>
    <t>● Sorteio de Capitães</t>
  </si>
  <si>
    <t>Os 6 Midlaners desta edição — o Mid é o "cabeça do time", então todo Mid vira capitão automaticamente. O sorteio decide qual time cada um vai capitanear. Aperte F9 pra sortear de novo; quando decidirem o resultado, copiem os nomes como valores para a aba Draft e marquem o time de cada Mid na Base Jogadores.</t>
  </si>
  <si>
    <t>● Base Jogadores</t>
  </si>
  <si>
    <t>Lista tratada dos 30 inscritos, com valor em pontos calculado automaticamente a partir do elo (aba 'Valores por Elo'). A coluna 'Time' (destacada em amarelo) é onde os capitães vão marcando o time de cada jogador durante o draft — basta clicar na célula e escolher na lista.</t>
  </si>
  <si>
    <t>● Valores por Elo</t>
  </si>
  <si>
    <t>Tabela de pontos por elo (células em amarelo = editável). Se vocês quiserem recalibrar os valores antes do torneio, alterem aqui — tudo no resto da planilha se atualiza sozinho.</t>
  </si>
  <si>
    <t>● Draft</t>
  </si>
  <si>
    <t>Painel ao vivo do draft: nome/capitão de cada time, orçamento, pontos já gastos, saldo restante, cobertura das 5 rotas por time (com aviso visual se faltar ou sobrar alguma rota) e o elenco de cada time atualizado automaticamente conforme a coluna 'Time' é preenchida na aba Base Jogadores.</t>
  </si>
  <si>
    <t>● Dashboard</t>
  </si>
  <si>
    <t>Gráficos gerais: distribuição de jogadores por elo, distribuição por rota primária e um mapa de calor Elo x Rota.</t>
  </si>
  <si>
    <t>● Respostas (original)</t>
  </si>
  <si>
    <t>Cópia fiel das respostas originais do formulário, sem nenhuma alteração — mantida como fonte/auditoria.</t>
  </si>
  <si>
    <t>Células amarelas = você deve preencher/editar. Células brancas com fórmula = não mexer, atualizam sozinhas.</t>
  </si>
  <si>
    <t>Dashboard — 3ª Edição dos Bronzes</t>
  </si>
  <si>
    <t>Visão geral dos 30 inscritos: elo e rota primária. Atualiza automaticamente se a lista de jogadores mudar.</t>
  </si>
  <si>
    <t>Elo</t>
  </si>
  <si>
    <t>Jogadores</t>
  </si>
  <si>
    <t>Ferro</t>
  </si>
  <si>
    <t>Bronze</t>
  </si>
  <si>
    <t>Prata</t>
  </si>
  <si>
    <t>Ouro</t>
  </si>
  <si>
    <t>Platina</t>
  </si>
  <si>
    <t>Esmeralda</t>
  </si>
  <si>
    <t>Diamante</t>
  </si>
  <si>
    <t>Mestre</t>
  </si>
  <si>
    <t>Grão-Mestre</t>
  </si>
  <si>
    <t>Desafiante</t>
  </si>
  <si>
    <t>Rota</t>
  </si>
  <si>
    <t>Primária</t>
  </si>
  <si>
    <t>Aptos (qualquer rota)</t>
  </si>
  <si>
    <t>Topo</t>
  </si>
  <si>
    <t>Selva</t>
  </si>
  <si>
    <t>Meio</t>
  </si>
  <si>
    <t>Atirador</t>
  </si>
  <si>
    <t>Suporte</t>
  </si>
  <si>
    <t>Mapa de Calor: Elo x Rota Primária</t>
  </si>
  <si>
    <t>Sorteio de Capitães — 3ª Edição</t>
  </si>
  <si>
    <t>Elegíveis: os 6 jogadores de Midlane desta edição — cada Mid é automaticamente o capitão do seu time (a rota "cabeça do time").</t>
  </si>
  <si>
    <t>Como são exatamente 6 Mids para 6 times, todos os 6 viram capitão — o sorteio aqui decide é QUAL time cada um vai capitanear. Pressione F9 (ou Ctrl+Alt+F9) para sortear de novo. Quando decidirem o resultado final: (1) copiem os 6 nomes como VALORES para a aba Draft (coluna Capitão); e (2) na aba Base Jogadores, preencham a coluna 'Time' de cada um desses 6 Mids com o time que ele vai capitanear — afinal, o capitão também é jogador e ocupa a vaga de Mid do próprio time (o valor dele em pontos entra no orçamento normalmente).</t>
  </si>
  <si>
    <t>#</t>
  </si>
  <si>
    <t>Nome</t>
  </si>
  <si>
    <t>Nickname</t>
  </si>
  <si>
    <t>Valor</t>
  </si>
  <si>
    <t>Número Sorteio</t>
  </si>
  <si>
    <t>Ordem</t>
  </si>
  <si>
    <t>Capitães Sorteados</t>
  </si>
  <si>
    <t>Time</t>
  </si>
  <si>
    <t>Time 1</t>
  </si>
  <si>
    <t>Time 2</t>
  </si>
  <si>
    <t>Time 3</t>
  </si>
  <si>
    <t>Time 4</t>
  </si>
  <si>
    <t>Time 5</t>
  </si>
  <si>
    <t>Time 6</t>
  </si>
  <si>
    <t>O "Time 1" a "Time 6" aqui é só a ordem do sorteio — vocês podem renomear os times como quiserem depois na aba Draft.</t>
  </si>
  <si>
    <t>Draft dos Times — 3ª Edição dos Bronzes</t>
  </si>
  <si>
    <t>Preencha o nome do time e o capitão. O orçamento já vem sugerido — edite se quiser. Tudo abaixo atualiza sozinho conforme a coluna 'Time' é preenchida na aba Base Jogadores.</t>
  </si>
  <si>
    <t>Capitão</t>
  </si>
  <si>
    <t>Orçamento (pts)</t>
  </si>
  <si>
    <t>Pontos Gastos</t>
  </si>
  <si>
    <t>Saldo</t>
  </si>
  <si>
    <t>Status</t>
  </si>
  <si>
    <t>Cobertura de Rotas por Time</t>
  </si>
  <si>
    <t>Verde = rota coberta (1 titular) · Amarelo = rota ainda sem jogador · Vermelho = rota duplicada (mais de 1 jogador na mesma posição).</t>
  </si>
  <si>
    <t>Elenco de Cada Time</t>
  </si>
  <si>
    <t>Valor
(pts)</t>
  </si>
  <si>
    <t>Rota
Primária</t>
  </si>
  <si>
    <t>Rotas (todas)</t>
  </si>
  <si>
    <t>Mono
Champion</t>
  </si>
  <si>
    <t>OrdemNoTime</t>
  </si>
  <si>
    <t>Chave</t>
  </si>
  <si>
    <t>Elegivel</t>
  </si>
  <si>
    <t>OrdemElegivel</t>
  </si>
  <si>
    <t>Luiz Felipe</t>
  </si>
  <si>
    <t>mxxDragonxxm</t>
  </si>
  <si>
    <t>Jungler</t>
  </si>
  <si>
    <t>Não</t>
  </si>
  <si>
    <t>Hygor rodrigo</t>
  </si>
  <si>
    <t>Hikolin#2112</t>
  </si>
  <si>
    <t>Adcarry</t>
  </si>
  <si>
    <t>Felipe / Satoshi</t>
  </si>
  <si>
    <t>Satoshi #VDD</t>
  </si>
  <si>
    <t>Midlane</t>
  </si>
  <si>
    <t>THALISSON VIEIRA</t>
  </si>
  <si>
    <t>THALAO # FIRST</t>
  </si>
  <si>
    <t>Suport</t>
  </si>
  <si>
    <t>Lucas Oliveira</t>
  </si>
  <si>
    <r>
      <rPr>
        <rFont val="Arial"/>
        <color rgb="FF000000"/>
        <sz val="10.0"/>
      </rPr>
      <t xml:space="preserve">яαzεгαł        </t>
    </r>
    <r>
      <rPr>
        <rFont val="Noto Sans CJK SC"/>
        <color rgb="FF000000"/>
        <sz val="10.0"/>
      </rPr>
      <t xml:space="preserve">ッ </t>
    </r>
    <r>
      <rPr>
        <rFont val="Arial"/>
        <color rgb="FF000000"/>
        <sz val="10.0"/>
      </rPr>
      <t>#yse</t>
    </r>
  </si>
  <si>
    <t>Junior</t>
  </si>
  <si>
    <t>Sabor Energético #1777</t>
  </si>
  <si>
    <t>Sim</t>
  </si>
  <si>
    <t>Wafiter</t>
  </si>
  <si>
    <t>Top Lane 666 #BR1</t>
  </si>
  <si>
    <t>Toplane</t>
  </si>
  <si>
    <t>Silverio Junior</t>
  </si>
  <si>
    <t>Malasartes</t>
  </si>
  <si>
    <t>Jeferson/ Heimer</t>
  </si>
  <si>
    <t>N4firida  agiota #7937</t>
  </si>
  <si>
    <t>Alefh Nakayama</t>
  </si>
  <si>
    <t>nak4y#JPN</t>
  </si>
  <si>
    <t>Carlos Daniel</t>
  </si>
  <si>
    <t>SOU ADC NÃO DEUS#BR1</t>
  </si>
  <si>
    <t>Relbert Mateus</t>
  </si>
  <si>
    <t>MIDAS#Ayla</t>
  </si>
  <si>
    <t>Artur Rodrigues</t>
  </si>
  <si>
    <t>Sr Hades#2522</t>
  </si>
  <si>
    <t>Pedro Lucas PL</t>
  </si>
  <si>
    <t>Peideicaldinho#pei</t>
  </si>
  <si>
    <t>Isabella Lima</t>
  </si>
  <si>
    <t>Miva#Br1</t>
  </si>
  <si>
    <t>Jonathan Pikart (GayLord)</t>
  </si>
  <si>
    <t>PNG GALA #PNG</t>
  </si>
  <si>
    <t>matheus vidotti</t>
  </si>
  <si>
    <t>vidotti agiota #br1</t>
  </si>
  <si>
    <t>Maxmp maicon</t>
  </si>
  <si>
    <t>#Maxmp</t>
  </si>
  <si>
    <t>Wesley Rafael</t>
  </si>
  <si>
    <t>wrgamer#153</t>
  </si>
  <si>
    <t>Heitor Silva</t>
  </si>
  <si>
    <t>tikin d calcinha#jcdk</t>
  </si>
  <si>
    <t>Marcus Silva</t>
  </si>
  <si>
    <t>motomoto#thuc</t>
  </si>
  <si>
    <t>Ives</t>
  </si>
  <si>
    <t>SAMUEL VENÂNCIO#MC97</t>
  </si>
  <si>
    <t>Eduuh Legna</t>
  </si>
  <si>
    <t>INNELLEA #GOAT</t>
  </si>
  <si>
    <t>Álvaro Jorge</t>
  </si>
  <si>
    <t>Tapa de doido #ats</t>
  </si>
  <si>
    <t>Lucas</t>
  </si>
  <si>
    <t>Onigami</t>
  </si>
  <si>
    <t>Luix Silva</t>
  </si>
  <si>
    <t>Z0E Baiana #br1</t>
  </si>
  <si>
    <t>Lipão Campolina</t>
  </si>
  <si>
    <t>GAR3NA#333</t>
  </si>
  <si>
    <t>Joao Pedo Barauna Vilela</t>
  </si>
  <si>
    <t>Famoso Parrudao #6969</t>
  </si>
  <si>
    <t>Fernando da Silva</t>
  </si>
  <si>
    <t>Iranildo Gari#Pilar</t>
  </si>
  <si>
    <t>Nicollas Castro</t>
  </si>
  <si>
    <t>ctz #444</t>
  </si>
  <si>
    <t>Tabela de Pontos por Elo</t>
  </si>
  <si>
    <t>Edite a coluna 'Valor (pontos)' para recalibrar — o restante da planilha recalcula sozinho.</t>
  </si>
  <si>
    <t>Valor (pontos)</t>
  </si>
  <si>
    <t>Jogadores nesta edição</t>
  </si>
  <si>
    <t>Resumo do pool de jogadores</t>
  </si>
  <si>
    <t>Total de jogadores inscritos</t>
  </si>
  <si>
    <t>Total de pontos do pool</t>
  </si>
  <si>
    <t>Times sugeridos (5 jogadores cada)</t>
  </si>
  <si>
    <t>Orçamento médio por time (pool ÷ times)</t>
  </si>
  <si>
    <t>Orçamento recomendado por capitão (+15% de folga)</t>
  </si>
  <si>
    <t>Metodologia: os pontos crescem de forma não-linear entre elos (Ferro=1 ... Desafiante=15), refletindo que o salto de habilidade entre elos altos é maior que entre elos baixos. O orçamento recomendado para cada capitão é a média de pontos por time com uma folga de 15%, o suficiente para que ele consiga competir por jogadores de elo mais alto sem conseguir empilhar vários de uma vez — isso é o que força o equilíbrio entre os times.</t>
  </si>
  <si>
    <t>Carimbo de data/hora</t>
  </si>
  <si>
    <t>Nome e sobrenome para localizar no grupo do WhatsApp</t>
  </si>
  <si>
    <t>Nickname com # para ser localizado no dia da partida</t>
  </si>
  <si>
    <t>Qual o seu elo atualmente na SOLO/DUO?</t>
  </si>
  <si>
    <t>Qual a sua rota primária?</t>
  </si>
  <si>
    <t>Está ciente que precisará pagar antes do início do torneio? Lembrando que vamos definir ainda o valor.</t>
  </si>
  <si>
    <t>Você é mono champion?</t>
  </si>
  <si>
    <t>2026-07-13 10:15:44</t>
  </si>
  <si>
    <t xml:space="preserve">Luiz Felipe </t>
  </si>
  <si>
    <t>2026-07-13 10:16:01</t>
  </si>
  <si>
    <t xml:space="preserve">Hygor rodrigo </t>
  </si>
  <si>
    <t>2026-07-13 10:17:33</t>
  </si>
  <si>
    <t>2026-07-13 10:19:50</t>
  </si>
  <si>
    <t>2026-07-13 10:27:34</t>
  </si>
  <si>
    <r>
      <rPr>
        <rFont val="Arial"/>
        <color rgb="FF000000"/>
        <sz val="9.0"/>
      </rPr>
      <t xml:space="preserve">яαzεгαł        </t>
    </r>
    <r>
      <rPr>
        <rFont val="Noto Sans CJK SC"/>
        <color rgb="FF000000"/>
        <sz val="9.0"/>
      </rPr>
      <t xml:space="preserve">ッ </t>
    </r>
    <r>
      <rPr>
        <rFont val="Arial"/>
        <color rgb="FF000000"/>
        <sz val="9.0"/>
      </rPr>
      <t>#yse</t>
    </r>
  </si>
  <si>
    <t>2026-07-13 10:37:19</t>
  </si>
  <si>
    <t>2026-07-13 10:40:16</t>
  </si>
  <si>
    <t xml:space="preserve">Wafiter </t>
  </si>
  <si>
    <t>2026-07-13 10:45:06</t>
  </si>
  <si>
    <t xml:space="preserve">Silverio Junior </t>
  </si>
  <si>
    <t>2026-07-13 11:43:02</t>
  </si>
  <si>
    <t xml:space="preserve">Jeferson/ Heimer </t>
  </si>
  <si>
    <t>2026-07-13 11:45:33</t>
  </si>
  <si>
    <t>2026-07-13 11:48:47</t>
  </si>
  <si>
    <t>2026-07-13 11:52:59</t>
  </si>
  <si>
    <t xml:space="preserve">Relbert Mateus </t>
  </si>
  <si>
    <t>2026-07-13 11:56:47</t>
  </si>
  <si>
    <t>2026-07-13 12:20:04</t>
  </si>
  <si>
    <t>2026-07-13 12:47:25</t>
  </si>
  <si>
    <t>2026-07-13 13:22:29</t>
  </si>
  <si>
    <t>2026-07-13 14:22:24</t>
  </si>
  <si>
    <t>2026-07-13 21:30:18</t>
  </si>
  <si>
    <t>2026-07-13 21:59:35</t>
  </si>
  <si>
    <t>2026-07-14 13:09:16</t>
  </si>
  <si>
    <t>2026-07-14 13:10:03</t>
  </si>
  <si>
    <t>2026-07-14 13:11:53</t>
  </si>
  <si>
    <t>2026-07-14 13:26:24</t>
  </si>
  <si>
    <t xml:space="preserve">Eduuh Legna </t>
  </si>
  <si>
    <t>2026-07-14 13:29:21</t>
  </si>
  <si>
    <t>2026-07-14 13:32:21</t>
  </si>
  <si>
    <t>2026-07-14 15:28:49</t>
  </si>
  <si>
    <t xml:space="preserve">Luix Silva </t>
  </si>
  <si>
    <t>2026-07-15 09:14:58</t>
  </si>
  <si>
    <t>2026-07-15 11:08:50</t>
  </si>
  <si>
    <t>2026-07-15 12:01:11</t>
  </si>
  <si>
    <t xml:space="preserve">Fernando da Silva </t>
  </si>
  <si>
    <t xml:space="preserve">Iranildo Gari#Pilar </t>
  </si>
  <si>
    <t>2026-07-15 15:39:03</t>
  </si>
  <si>
    <t xml:space="preserve">Nicollas Castro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</si>
</sst>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8.0"/>
      <color rgb="FF1B1F3B"/>
      <name val="Arial"/>
    </font>
    <font>
      <i/>
      <sz val="12.0"/>
      <color rgb="FF666666"/>
      <name val="Arial"/>
    </font>
    <font>
      <b/>
      <sz val="11.0"/>
      <color rgb="FF1B1F3B"/>
      <name val="Arial"/>
    </font>
    <font>
      <sz val="10.0"/>
      <color rgb="FF333333"/>
      <name val="Arial"/>
    </font>
    <font>
      <i/>
      <sz val="10.0"/>
      <color rgb="FF8A1C2E"/>
      <name val="Arial"/>
    </font>
    <font>
      <i/>
      <sz val="10.0"/>
      <color rgb="FF666666"/>
      <name val="Arial"/>
    </font>
    <font>
      <b/>
      <sz val="9.0"/>
      <color theme="1"/>
      <name val="Arial"/>
    </font>
    <font>
      <color theme="1"/>
      <name val="Calibri"/>
      <scheme val="minor"/>
    </font>
    <font>
      <b/>
      <sz val="12.0"/>
      <color rgb="FF1B1F3B"/>
      <name val="Arial"/>
    </font>
    <font>
      <b/>
      <sz val="10.0"/>
      <color rgb="FFFFFFFF"/>
      <name val="Arial"/>
    </font>
    <font>
      <sz val="10.0"/>
      <color rgb="FF000000"/>
      <name val="Arial"/>
    </font>
    <font>
      <i/>
      <sz val="9.0"/>
      <color rgb="FF8A1C2E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9.0"/>
      <color rgb="FF666666"/>
      <name val="Arial"/>
    </font>
    <font>
      <sz val="11.0"/>
      <color theme="1"/>
      <name val="Calibri"/>
    </font>
    <font>
      <b/>
      <sz val="10.0"/>
      <color rgb="FF000000"/>
      <name val="Arial"/>
    </font>
    <font>
      <b/>
      <sz val="10.0"/>
      <color rgb="FF8A1C2E"/>
      <name val="Arial"/>
    </font>
    <font>
      <i/>
      <sz val="9.0"/>
      <color rgb="FF666666"/>
      <name val="Arial"/>
    </font>
    <font>
      <sz val="10.0"/>
      <color rgb="FF0000FF"/>
      <name val="Arial"/>
    </font>
    <font>
      <b/>
      <sz val="11.0"/>
      <color rgb="FF8A1C2E"/>
      <name val="Arial"/>
    </font>
    <font>
      <b/>
      <sz val="16.0"/>
      <color rgb="FF1B1F3B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B1F3B"/>
        <bgColor rgb="FF1B1F3B"/>
      </patternFill>
    </fill>
    <fill>
      <patternFill patternType="solid">
        <fgColor rgb="FF8C5A2B"/>
        <bgColor rgb="FF8C5A2B"/>
      </patternFill>
    </fill>
    <fill>
      <patternFill patternType="solid">
        <fgColor rgb="FF9EA6AD"/>
        <bgColor rgb="FF9EA6AD"/>
      </patternFill>
    </fill>
    <fill>
      <patternFill patternType="solid">
        <fgColor rgb="FFD4AF37"/>
        <bgColor rgb="FFD4AF37"/>
      </patternFill>
    </fill>
    <fill>
      <patternFill patternType="solid">
        <fgColor rgb="FF3AA6A6"/>
        <bgColor rgb="FF3AA6A6"/>
      </patternFill>
    </fill>
    <fill>
      <patternFill patternType="solid">
        <fgColor rgb="FF2FA36B"/>
        <bgColor rgb="FF2FA36B"/>
      </patternFill>
    </fill>
    <fill>
      <patternFill patternType="solid">
        <fgColor rgb="FF4C8FE0"/>
        <bgColor rgb="FF4C8FE0"/>
      </patternFill>
    </fill>
    <fill>
      <patternFill patternType="solid">
        <fgColor rgb="FF9B4FD1"/>
        <bgColor rgb="FF9B4FD1"/>
      </patternFill>
    </fill>
    <fill>
      <patternFill patternType="solid">
        <fgColor rgb="FFFFF2A6"/>
        <bgColor rgb="FFFFF2A6"/>
      </patternFill>
    </fill>
    <fill>
      <patternFill patternType="solid">
        <fgColor rgb="FFC97A3D"/>
        <bgColor rgb="FFC97A3D"/>
      </patternFill>
    </fill>
    <fill>
      <patternFill patternType="solid">
        <fgColor rgb="FF3D8C5F"/>
        <bgColor rgb="FF3D8C5F"/>
      </patternFill>
    </fill>
    <fill>
      <patternFill patternType="solid">
        <fgColor rgb="FF4C6FE0"/>
        <bgColor rgb="FF4C6FE0"/>
      </patternFill>
    </fill>
    <fill>
      <patternFill patternType="solid">
        <fgColor rgb="FFD14F6B"/>
        <bgColor rgb="FFD14F6B"/>
      </patternFill>
    </fill>
    <fill>
      <patternFill patternType="solid">
        <fgColor rgb="FFE0A72E"/>
        <bgColor rgb="FFE0A72E"/>
      </patternFill>
    </fill>
    <fill>
      <patternFill patternType="solid">
        <fgColor rgb="FF6B4F4F"/>
        <bgColor rgb="FF6B4F4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ill="1" applyFont="1">
      <alignment horizontal="left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4" fontId="10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left" shrinkToFit="0" vertical="center" wrapText="1"/>
    </xf>
    <xf borderId="1" fillId="6" fontId="10" numFmtId="0" xfId="0" applyAlignment="1" applyBorder="1" applyFill="1" applyFont="1">
      <alignment horizontal="left" shrinkToFit="0" vertical="center" wrapText="1"/>
    </xf>
    <xf borderId="1" fillId="7" fontId="10" numFmtId="0" xfId="0" applyAlignment="1" applyBorder="1" applyFill="1" applyFont="1">
      <alignment horizontal="left" shrinkToFit="0" vertical="center" wrapText="1"/>
    </xf>
    <xf borderId="1" fillId="8" fontId="10" numFmtId="0" xfId="0" applyAlignment="1" applyBorder="1" applyFill="1" applyFont="1">
      <alignment horizontal="left" shrinkToFit="0" vertical="center" wrapText="1"/>
    </xf>
    <xf borderId="1" fillId="9" fontId="10" numFmtId="0" xfId="0" applyAlignment="1" applyBorder="1" applyFill="1" applyFont="1">
      <alignment horizontal="left" shrinkToFit="0" vertical="center" wrapText="1"/>
    </xf>
    <xf borderId="0" fillId="0" fontId="12" numFmtId="0" xfId="0" applyAlignment="1" applyFont="1">
      <alignment shrinkToFit="0" vertical="top" wrapText="1"/>
    </xf>
    <xf borderId="1" fillId="2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0" fillId="0" fontId="6" numFmtId="0" xfId="0" applyAlignment="1" applyFont="1">
      <alignment shrinkToFit="0" wrapText="1"/>
    </xf>
    <xf borderId="1" fillId="10" fontId="21" numFmtId="0" xfId="0" applyAlignment="1" applyBorder="1" applyFill="1" applyFont="1">
      <alignment horizontal="left" vertical="center"/>
    </xf>
    <xf borderId="1" fillId="10" fontId="21" numFmtId="0" xfId="0" applyAlignment="1" applyBorder="1" applyFont="1">
      <alignment horizontal="center" vertical="center"/>
    </xf>
    <xf borderId="1" fillId="11" fontId="10" numFmtId="0" xfId="0" applyAlignment="1" applyBorder="1" applyFill="1" applyFont="1">
      <alignment horizontal="left" shrinkToFit="0" vertical="center" wrapText="1"/>
    </xf>
    <xf borderId="1" fillId="12" fontId="10" numFmtId="0" xfId="0" applyAlignment="1" applyBorder="1" applyFill="1" applyFont="1">
      <alignment horizontal="left" shrinkToFit="0" vertical="center" wrapText="1"/>
    </xf>
    <xf borderId="1" fillId="13" fontId="10" numFmtId="0" xfId="0" applyAlignment="1" applyBorder="1" applyFill="1" applyFont="1">
      <alignment horizontal="left" shrinkToFit="0" vertical="center" wrapText="1"/>
    </xf>
    <xf borderId="1" fillId="14" fontId="10" numFmtId="0" xfId="0" applyAlignment="1" applyBorder="1" applyFill="1" applyFont="1">
      <alignment horizontal="left" shrinkToFit="0" vertical="center" wrapText="1"/>
    </xf>
    <xf borderId="1" fillId="15" fontId="10" numFmtId="0" xfId="0" applyAlignment="1" applyBorder="1" applyFill="1" applyFont="1">
      <alignment horizontal="left" shrinkToFit="0" vertical="center" wrapText="1"/>
    </xf>
    <xf borderId="0" fillId="0" fontId="20" numFmtId="0" xfId="0" applyFont="1"/>
    <xf borderId="0" fillId="0" fontId="22" numFmtId="0" xfId="0" applyFont="1"/>
    <xf borderId="1" fillId="0" fontId="14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8" fontId="10" numFmtId="0" xfId="0" applyAlignment="1" applyBorder="1" applyFont="1">
      <alignment horizontal="center" shrinkToFit="0" vertical="center" wrapText="1"/>
    </xf>
    <xf borderId="1" fillId="7" fontId="10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9" fontId="10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left" vertical="center"/>
    </xf>
    <xf borderId="1" fillId="16" fontId="10" numFmtId="0" xfId="0" applyAlignment="1" applyBorder="1" applyFill="1" applyFont="1">
      <alignment horizontal="left" shrinkToFit="0" vertical="center" wrapText="1"/>
    </xf>
    <xf borderId="0" fillId="0" fontId="20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C9F0D3"/>
          <bgColor rgb="FFC9F0D3"/>
        </patternFill>
      </fill>
      <border/>
    </dxf>
    <dxf>
      <font/>
      <fill>
        <patternFill patternType="solid">
          <fgColor rgb="FFFCE8A0"/>
          <bgColor rgb="FFFCE8A0"/>
        </patternFill>
      </fill>
      <border/>
    </dxf>
    <dxf>
      <font/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Distribuição de Jogadores por Elo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Jogadores</c:v>
          </c:tx>
          <c:spPr>
            <a:solidFill>
              <a:srgbClr val="4F81BD"/>
            </a:solidFill>
            <a:ln cmpd="sng">
              <a:noFill/>
            </a:ln>
          </c:spPr>
          <c:dPt>
            <c:idx val="0"/>
            <c:spPr>
              <a:solidFill>
                <a:srgbClr val="6B4F4F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8C5A2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EA6A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4AF37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3AA6A6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2FA36B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4C8FE0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B4FD1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14F6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E0A72E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Dashboard!$B$7:$B$16</c:f>
            </c:strRef>
          </c:cat>
          <c:val>
            <c:numRef>
              <c:f>Dashboard!$C$7:$C$16</c:f>
              <c:numCache/>
            </c:numRef>
          </c:val>
        </c:ser>
        <c:axId val="350410905"/>
        <c:axId val="2097929443"/>
      </c:barChart>
      <c:catAx>
        <c:axId val="3504109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Jogadores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97929443"/>
      </c:catAx>
      <c:valAx>
        <c:axId val="20979294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50410905"/>
        <c:crosses val="max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Distribuição por Rota Primária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Primária</c:v>
          </c:tx>
          <c:spPr>
            <a:solidFill>
              <a:srgbClr val="4F81BD"/>
            </a:solidFill>
            <a:ln cmpd="sng">
              <a:noFill/>
            </a:ln>
          </c:spPr>
          <c:dPt>
            <c:idx val="0"/>
            <c:spPr>
              <a:solidFill>
                <a:srgbClr val="C97A3D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3D8C5F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4C6FE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14F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E0A72E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Dashboard!$B$20:$B$24</c:f>
            </c:strRef>
          </c:cat>
          <c:val>
            <c:numRef>
              <c:f>Dashboard!$C$20:$C$24</c:f>
              <c:numCache/>
            </c:numRef>
          </c:val>
        </c:ser>
        <c:axId val="754834111"/>
        <c:axId val="251589322"/>
      </c:barChart>
      <c:catAx>
        <c:axId val="754834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51589322"/>
      </c:catAx>
      <c:valAx>
        <c:axId val="251589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Jogadores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54834111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Orçamento vs. Pontos Gastos por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Orçamento (pts)</c:v>
          </c:tx>
          <c:spPr>
            <a:solidFill>
              <a:srgbClr val="9EA6A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Draft!$B$6:$B$11</c:f>
            </c:strRef>
          </c:cat>
          <c:val>
            <c:numRef>
              <c:f>Draft!$D$6:$D$11</c:f>
              <c:numCache/>
            </c:numRef>
          </c:val>
        </c:ser>
        <c:ser>
          <c:idx val="1"/>
          <c:order val="1"/>
          <c:tx>
            <c:v>Pontos Gastos</c:v>
          </c:tx>
          <c:spPr>
            <a:solidFill>
              <a:srgbClr val="8A1C2E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Draft!$B$6:$B$11</c:f>
            </c:strRef>
          </c:cat>
          <c:val>
            <c:numRef>
              <c:f>Draft!$E$6:$E$11</c:f>
              <c:numCache/>
            </c:numRef>
          </c:val>
        </c:ser>
        <c:axId val="1830427597"/>
        <c:axId val="1710395202"/>
      </c:barChart>
      <c:catAx>
        <c:axId val="1830427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10395202"/>
      </c:catAx>
      <c:valAx>
        <c:axId val="1710395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Pontos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3042759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4</xdr:row>
      <xdr:rowOff>95250</xdr:rowOff>
    </xdr:from>
    <xdr:ext cx="6772275" cy="3400425"/>
    <xdr:graphicFrame>
      <xdr:nvGraphicFramePr>
        <xdr:cNvPr id="26579339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22</xdr:row>
      <xdr:rowOff>95250</xdr:rowOff>
    </xdr:from>
    <xdr:ext cx="6772275" cy="3400425"/>
    <xdr:graphicFrame>
      <xdr:nvGraphicFramePr>
        <xdr:cNvPr id="153206182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95250</xdr:rowOff>
    </xdr:from>
    <xdr:ext cx="8963025" cy="3000375"/>
    <xdr:graphicFrame>
      <xdr:nvGraphicFramePr>
        <xdr:cNvPr id="54054070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0.0"/>
    <col customWidth="1" min="3" max="26" width="8.71"/>
  </cols>
  <sheetData>
    <row r="2">
      <c r="B2" s="1" t="s">
        <v>0</v>
      </c>
    </row>
    <row r="3">
      <c r="B3" s="2" t="s">
        <v>1</v>
      </c>
    </row>
    <row r="5">
      <c r="B5" s="3" t="s">
        <v>2</v>
      </c>
    </row>
    <row r="6" ht="45.0" customHeight="1">
      <c r="B6" s="4" t="s">
        <v>3</v>
      </c>
    </row>
    <row r="8">
      <c r="B8" s="3" t="s">
        <v>4</v>
      </c>
    </row>
    <row r="9" ht="45.0" customHeight="1">
      <c r="B9" s="4" t="s">
        <v>5</v>
      </c>
    </row>
    <row r="11">
      <c r="B11" s="3" t="s">
        <v>6</v>
      </c>
    </row>
    <row r="12" ht="45.0" customHeight="1">
      <c r="B12" s="4" t="s">
        <v>7</v>
      </c>
    </row>
    <row r="14">
      <c r="B14" s="3" t="s">
        <v>8</v>
      </c>
    </row>
    <row r="15" ht="45.0" customHeight="1">
      <c r="B15" s="4" t="s">
        <v>9</v>
      </c>
    </row>
    <row r="17">
      <c r="B17" s="3" t="s">
        <v>10</v>
      </c>
    </row>
    <row r="18" ht="45.0" customHeight="1">
      <c r="B18" s="4" t="s">
        <v>11</v>
      </c>
    </row>
    <row r="20">
      <c r="B20" s="3" t="s">
        <v>12</v>
      </c>
    </row>
    <row r="21" ht="45.0" customHeight="1">
      <c r="B21" s="4" t="s">
        <v>13</v>
      </c>
    </row>
    <row r="22" ht="15.75" customHeight="1"/>
    <row r="23" ht="15.75" customHeight="1">
      <c r="B23" s="5" t="s">
        <v>14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2.0"/>
    <col customWidth="1" min="4" max="4" width="20.0"/>
    <col customWidth="1" min="5" max="7" width="12.0"/>
    <col customWidth="1" min="8" max="26" width="8.71"/>
  </cols>
  <sheetData>
    <row r="2">
      <c r="B2" s="1" t="s">
        <v>15</v>
      </c>
    </row>
    <row r="3">
      <c r="B3" s="6" t="s">
        <v>16</v>
      </c>
    </row>
    <row r="6">
      <c r="B6" s="7" t="s">
        <v>17</v>
      </c>
      <c r="C6" s="7" t="s">
        <v>18</v>
      </c>
    </row>
    <row r="7">
      <c r="B7" s="8" t="s">
        <v>19</v>
      </c>
      <c r="C7" s="8">
        <f>COUNTIF('Base Jogadores'!$C$2:$C$31,$B7)</f>
        <v>0</v>
      </c>
    </row>
    <row r="8">
      <c r="B8" s="8" t="s">
        <v>20</v>
      </c>
      <c r="C8" s="8">
        <f>COUNTIF('Base Jogadores'!$C$2:$C$31,$B8)</f>
        <v>3</v>
      </c>
    </row>
    <row r="9">
      <c r="B9" s="8" t="s">
        <v>21</v>
      </c>
      <c r="C9" s="8">
        <f>COUNTIF('Base Jogadores'!$C$2:$C$31,$B9)</f>
        <v>2</v>
      </c>
    </row>
    <row r="10">
      <c r="B10" s="8" t="s">
        <v>22</v>
      </c>
      <c r="C10" s="8">
        <f>COUNTIF('Base Jogadores'!$C$2:$C$31,$B10)</f>
        <v>5</v>
      </c>
    </row>
    <row r="11">
      <c r="B11" s="8" t="s">
        <v>23</v>
      </c>
      <c r="C11" s="8">
        <f>COUNTIF('Base Jogadores'!$C$2:$C$31,$B11)</f>
        <v>8</v>
      </c>
    </row>
    <row r="12">
      <c r="B12" s="8" t="s">
        <v>24</v>
      </c>
      <c r="C12" s="8">
        <f>COUNTIF('Base Jogadores'!$C$2:$C$31,$B12)</f>
        <v>7</v>
      </c>
    </row>
    <row r="13">
      <c r="B13" s="8" t="s">
        <v>25</v>
      </c>
      <c r="C13" s="8">
        <f>COUNTIF('Base Jogadores'!$C$2:$C$31,$B13)</f>
        <v>4</v>
      </c>
    </row>
    <row r="14">
      <c r="B14" s="8" t="s">
        <v>26</v>
      </c>
      <c r="C14" s="8">
        <f>COUNTIF('Base Jogadores'!$C$2:$C$31,$B14)</f>
        <v>1</v>
      </c>
    </row>
    <row r="15">
      <c r="B15" s="8" t="s">
        <v>27</v>
      </c>
      <c r="C15" s="8">
        <f>COUNTIF('Base Jogadores'!$C$2:$C$31,$B15)</f>
        <v>0</v>
      </c>
    </row>
    <row r="16">
      <c r="B16" s="8" t="s">
        <v>28</v>
      </c>
      <c r="C16" s="8">
        <f>COUNTIF('Base Jogadores'!$C$2:$C$31,$B16)</f>
        <v>0</v>
      </c>
    </row>
    <row r="19">
      <c r="B19" s="7" t="s">
        <v>29</v>
      </c>
      <c r="C19" s="7" t="s">
        <v>30</v>
      </c>
      <c r="D19" s="7" t="s">
        <v>31</v>
      </c>
    </row>
    <row r="20">
      <c r="B20" s="8" t="s">
        <v>32</v>
      </c>
      <c r="C20" s="8">
        <f>COUNTIF('Base Jogadores'!$E$2:$E$31,"Toplane")</f>
        <v>5</v>
      </c>
      <c r="D20" s="8">
        <f>SUM('Base Jogadores'!$G$2:$G$31)</f>
        <v>6</v>
      </c>
    </row>
    <row r="21" ht="15.75" customHeight="1">
      <c r="B21" s="8" t="s">
        <v>33</v>
      </c>
      <c r="C21" s="8">
        <f>COUNTIF('Base Jogadores'!$E$2:$E$31,"Jungler")</f>
        <v>4</v>
      </c>
      <c r="D21" s="8">
        <f>SUM('Base Jogadores'!$H$2:$H$31)</f>
        <v>4</v>
      </c>
    </row>
    <row r="22" ht="15.75" customHeight="1">
      <c r="B22" s="8" t="s">
        <v>34</v>
      </c>
      <c r="C22" s="8">
        <f>COUNTIF('Base Jogadores'!$E$2:$E$31,"Midlane")</f>
        <v>6</v>
      </c>
      <c r="D22" s="8">
        <f>SUM('Base Jogadores'!$I$2:$I$31)</f>
        <v>6</v>
      </c>
    </row>
    <row r="23" ht="15.75" customHeight="1">
      <c r="B23" s="8" t="s">
        <v>35</v>
      </c>
      <c r="C23" s="8">
        <f>COUNTIF('Base Jogadores'!$E$2:$E$31,"Adcarry")</f>
        <v>9</v>
      </c>
      <c r="D23" s="8">
        <f>SUM('Base Jogadores'!$J$2:$J$31)</f>
        <v>8</v>
      </c>
    </row>
    <row r="24" ht="15.75" customHeight="1">
      <c r="B24" s="8" t="s">
        <v>36</v>
      </c>
      <c r="C24" s="8">
        <f>COUNTIF('Base Jogadores'!$E$2:$E$31,"Suport")</f>
        <v>6</v>
      </c>
      <c r="D24" s="8">
        <f>SUM('Base Jogadores'!$K$2:$K$31)</f>
        <v>6</v>
      </c>
    </row>
    <row r="25" ht="15.75" customHeight="1"/>
    <row r="26" ht="15.75" customHeight="1"/>
    <row r="27" ht="15.75" customHeight="1">
      <c r="B27" s="9" t="s">
        <v>37</v>
      </c>
    </row>
    <row r="28" ht="15.75" customHeight="1">
      <c r="B28" s="10" t="s">
        <v>17</v>
      </c>
      <c r="C28" s="10" t="s">
        <v>32</v>
      </c>
      <c r="D28" s="10" t="s">
        <v>33</v>
      </c>
      <c r="E28" s="10" t="s">
        <v>34</v>
      </c>
      <c r="F28" s="10" t="s">
        <v>35</v>
      </c>
      <c r="G28" s="10" t="s">
        <v>36</v>
      </c>
    </row>
    <row r="29" ht="15.75" customHeight="1">
      <c r="B29" s="11" t="s">
        <v>20</v>
      </c>
      <c r="C29" s="12">
        <f>COUNTIFS('Base Jogadores'!$C$2:$C$31,"Bronze",'Base Jogadores'!$E$2:$E$31,"Toplane")</f>
        <v>0</v>
      </c>
      <c r="D29" s="12">
        <f>COUNTIFS('Base Jogadores'!$C$2:$C$31,"Bronze",'Base Jogadores'!$E$2:$E$31,"Jungler")</f>
        <v>1</v>
      </c>
      <c r="E29" s="12">
        <f>COUNTIFS('Base Jogadores'!$C$2:$C$31,"Bronze",'Base Jogadores'!$E$2:$E$31,"Midlane")</f>
        <v>0</v>
      </c>
      <c r="F29" s="12">
        <f>COUNTIFS('Base Jogadores'!$C$2:$C$31,"Bronze",'Base Jogadores'!$E$2:$E$31,"Adcarry")</f>
        <v>0</v>
      </c>
      <c r="G29" s="12">
        <f>COUNTIFS('Base Jogadores'!$C$2:$C$31,"Bronze",'Base Jogadores'!$E$2:$E$31,"Suport")</f>
        <v>2</v>
      </c>
    </row>
    <row r="30" ht="15.75" customHeight="1">
      <c r="B30" s="13" t="s">
        <v>21</v>
      </c>
      <c r="C30" s="12">
        <f>COUNTIFS('Base Jogadores'!$C$2:$C$31,"Prata",'Base Jogadores'!$E$2:$E$31,"Toplane")</f>
        <v>0</v>
      </c>
      <c r="D30" s="12">
        <f>COUNTIFS('Base Jogadores'!$C$2:$C$31,"Prata",'Base Jogadores'!$E$2:$E$31,"Jungler")</f>
        <v>0</v>
      </c>
      <c r="E30" s="12">
        <f>COUNTIFS('Base Jogadores'!$C$2:$C$31,"Prata",'Base Jogadores'!$E$2:$E$31,"Midlane")</f>
        <v>1</v>
      </c>
      <c r="F30" s="12">
        <f>COUNTIFS('Base Jogadores'!$C$2:$C$31,"Prata",'Base Jogadores'!$E$2:$E$31,"Adcarry")</f>
        <v>1</v>
      </c>
      <c r="G30" s="12">
        <f>COUNTIFS('Base Jogadores'!$C$2:$C$31,"Prata",'Base Jogadores'!$E$2:$E$31,"Suport")</f>
        <v>0</v>
      </c>
    </row>
    <row r="31" ht="15.75" customHeight="1">
      <c r="B31" s="14" t="s">
        <v>22</v>
      </c>
      <c r="C31" s="12">
        <f>COUNTIFS('Base Jogadores'!$C$2:$C$31,"Ouro",'Base Jogadores'!$E$2:$E$31,"Toplane")</f>
        <v>0</v>
      </c>
      <c r="D31" s="12">
        <f>COUNTIFS('Base Jogadores'!$C$2:$C$31,"Ouro",'Base Jogadores'!$E$2:$E$31,"Jungler")</f>
        <v>0</v>
      </c>
      <c r="E31" s="12">
        <f>COUNTIFS('Base Jogadores'!$C$2:$C$31,"Ouro",'Base Jogadores'!$E$2:$E$31,"Midlane")</f>
        <v>2</v>
      </c>
      <c r="F31" s="12">
        <f>COUNTIFS('Base Jogadores'!$C$2:$C$31,"Ouro",'Base Jogadores'!$E$2:$E$31,"Adcarry")</f>
        <v>2</v>
      </c>
      <c r="G31" s="12">
        <f>COUNTIFS('Base Jogadores'!$C$2:$C$31,"Ouro",'Base Jogadores'!$E$2:$E$31,"Suport")</f>
        <v>1</v>
      </c>
    </row>
    <row r="32" ht="15.75" customHeight="1">
      <c r="B32" s="15" t="s">
        <v>23</v>
      </c>
      <c r="C32" s="12">
        <f>COUNTIFS('Base Jogadores'!$C$2:$C$31,"Platina",'Base Jogadores'!$E$2:$E$31,"Toplane")</f>
        <v>2</v>
      </c>
      <c r="D32" s="12">
        <f>COUNTIFS('Base Jogadores'!$C$2:$C$31,"Platina",'Base Jogadores'!$E$2:$E$31,"Jungler")</f>
        <v>0</v>
      </c>
      <c r="E32" s="12">
        <f>COUNTIFS('Base Jogadores'!$C$2:$C$31,"Platina",'Base Jogadores'!$E$2:$E$31,"Midlane")</f>
        <v>2</v>
      </c>
      <c r="F32" s="12">
        <f>COUNTIFS('Base Jogadores'!$C$2:$C$31,"Platina",'Base Jogadores'!$E$2:$E$31,"Adcarry")</f>
        <v>3</v>
      </c>
      <c r="G32" s="12">
        <f>COUNTIFS('Base Jogadores'!$C$2:$C$31,"Platina",'Base Jogadores'!$E$2:$E$31,"Suport")</f>
        <v>1</v>
      </c>
    </row>
    <row r="33" ht="15.75" customHeight="1">
      <c r="B33" s="16" t="s">
        <v>24</v>
      </c>
      <c r="C33" s="12">
        <f>COUNTIFS('Base Jogadores'!$C$2:$C$31,"Esmeralda",'Base Jogadores'!$E$2:$E$31,"Toplane")</f>
        <v>2</v>
      </c>
      <c r="D33" s="12">
        <f>COUNTIFS('Base Jogadores'!$C$2:$C$31,"Esmeralda",'Base Jogadores'!$E$2:$E$31,"Jungler")</f>
        <v>1</v>
      </c>
      <c r="E33" s="12">
        <f>COUNTIFS('Base Jogadores'!$C$2:$C$31,"Esmeralda",'Base Jogadores'!$E$2:$E$31,"Midlane")</f>
        <v>0</v>
      </c>
      <c r="F33" s="12">
        <f>COUNTIFS('Base Jogadores'!$C$2:$C$31,"Esmeralda",'Base Jogadores'!$E$2:$E$31,"Adcarry")</f>
        <v>2</v>
      </c>
      <c r="G33" s="12">
        <f>COUNTIFS('Base Jogadores'!$C$2:$C$31,"Esmeralda",'Base Jogadores'!$E$2:$E$31,"Suport")</f>
        <v>2</v>
      </c>
    </row>
    <row r="34" ht="15.75" customHeight="1">
      <c r="B34" s="17" t="s">
        <v>25</v>
      </c>
      <c r="C34" s="12">
        <f>COUNTIFS('Base Jogadores'!$C$2:$C$31,"Diamante",'Base Jogadores'!$E$2:$E$31,"Toplane")</f>
        <v>1</v>
      </c>
      <c r="D34" s="12">
        <f>COUNTIFS('Base Jogadores'!$C$2:$C$31,"Diamante",'Base Jogadores'!$E$2:$E$31,"Jungler")</f>
        <v>1</v>
      </c>
      <c r="E34" s="12">
        <f>COUNTIFS('Base Jogadores'!$C$2:$C$31,"Diamante",'Base Jogadores'!$E$2:$E$31,"Midlane")</f>
        <v>1</v>
      </c>
      <c r="F34" s="12">
        <f>COUNTIFS('Base Jogadores'!$C$2:$C$31,"Diamante",'Base Jogadores'!$E$2:$E$31,"Adcarry")</f>
        <v>1</v>
      </c>
      <c r="G34" s="12">
        <f>COUNTIFS('Base Jogadores'!$C$2:$C$31,"Diamante",'Base Jogadores'!$E$2:$E$31,"Suport")</f>
        <v>0</v>
      </c>
    </row>
    <row r="35" ht="15.75" customHeight="1">
      <c r="B35" s="18" t="s">
        <v>26</v>
      </c>
      <c r="C35" s="12">
        <f>COUNTIFS('Base Jogadores'!$C$2:$C$31,"Mestre",'Base Jogadores'!$E$2:$E$31,"Toplane")</f>
        <v>0</v>
      </c>
      <c r="D35" s="12">
        <f>COUNTIFS('Base Jogadores'!$C$2:$C$31,"Mestre",'Base Jogadores'!$E$2:$E$31,"Jungler")</f>
        <v>1</v>
      </c>
      <c r="E35" s="12">
        <f>COUNTIFS('Base Jogadores'!$C$2:$C$31,"Mestre",'Base Jogadores'!$E$2:$E$31,"Midlane")</f>
        <v>0</v>
      </c>
      <c r="F35" s="12">
        <f>COUNTIFS('Base Jogadores'!$C$2:$C$31,"Mestre",'Base Jogadores'!$E$2:$E$31,"Adcarry")</f>
        <v>0</v>
      </c>
      <c r="G35" s="12">
        <f>COUNTIFS('Base Jogadores'!$C$2:$C$31,"Mestre",'Base Jogadores'!$E$2:$E$31,"Suport")</f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9:G35">
    <cfRule type="colorScale" priority="1">
      <colorScale>
        <cfvo type="min"/>
        <cfvo type="max"/>
        <color rgb="FFF2F3F8"/>
        <color rgb="FF8A1C2E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18.0"/>
    <col customWidth="1" min="4" max="4" width="21.14"/>
    <col customWidth="1" min="5" max="5" width="11.0"/>
    <col customWidth="1" min="6" max="6" width="8.0"/>
    <col customWidth="1" min="7" max="7" width="13.0"/>
    <col customWidth="1" min="8" max="8" width="8.0"/>
    <col customWidth="1" min="9" max="26" width="8.71"/>
  </cols>
  <sheetData>
    <row r="2">
      <c r="B2" s="1" t="s">
        <v>38</v>
      </c>
    </row>
    <row r="3">
      <c r="B3" s="6" t="s">
        <v>39</v>
      </c>
    </row>
    <row r="4" ht="69.75" customHeight="1">
      <c r="B4" s="19" t="s">
        <v>40</v>
      </c>
    </row>
    <row r="6" ht="25.5" customHeight="1">
      <c r="B6" s="20" t="s">
        <v>41</v>
      </c>
      <c r="C6" s="20" t="s">
        <v>42</v>
      </c>
      <c r="D6" s="20" t="s">
        <v>43</v>
      </c>
      <c r="E6" s="20" t="s">
        <v>17</v>
      </c>
      <c r="F6" s="20" t="s">
        <v>44</v>
      </c>
      <c r="G6" s="20" t="s">
        <v>45</v>
      </c>
      <c r="H6" s="20" t="s">
        <v>46</v>
      </c>
    </row>
    <row r="7">
      <c r="B7" s="21">
        <v>1.0</v>
      </c>
      <c r="C7" s="22" t="str">
        <f t="array" ref="C7">IFERROR(INDEX('Base Jogadores'!$A$2:$A$31,MATCH(1,'Base Jogadores'!$Q$2:$Q$31,0)),"")</f>
        <v>Felipe / Satoshi</v>
      </c>
      <c r="D7" s="21" t="str">
        <f t="array" ref="D7">IFERROR(INDEX('Base Jogadores'!$B$2:$B$31,MATCH(1,'Base Jogadores'!$Q$2:$Q$31,0)),"")</f>
        <v>Satoshi #VDD</v>
      </c>
      <c r="E7" s="22" t="str">
        <f t="array" ref="E7">IFERROR(INDEX('Base Jogadores'!$C$2:$C$31,MATCH(1,'Base Jogadores'!$Q$2:$Q$31,0)),"")</f>
        <v>Platina</v>
      </c>
      <c r="F7" s="21">
        <f t="array" ref="F7">IFERROR(INDEX('Base Jogadores'!$D$2:$D$31,MATCH(1,'Base Jogadores'!$Q$2:$Q$31,0)),"")</f>
        <v>5</v>
      </c>
      <c r="G7" s="23">
        <f t="shared" ref="G7:G12" si="1">RAND()</f>
        <v>0.8239808087</v>
      </c>
      <c r="H7" s="22">
        <f t="shared" ref="H7:H12" si="2">RANK($G7,$G$7:$G$12)</f>
        <v>3</v>
      </c>
    </row>
    <row r="8">
      <c r="B8" s="21">
        <v>2.0</v>
      </c>
      <c r="C8" s="22" t="str">
        <f t="array" ref="C8">IFERROR(INDEX('Base Jogadores'!$A$2:$A$31,MATCH(2,'Base Jogadores'!$Q$2:$Q$31,0)),"")</f>
        <v>Lucas Oliveira</v>
      </c>
      <c r="D8" s="21" t="str">
        <f t="array" ref="D8">IFERROR(INDEX('Base Jogadores'!$B$2:$B$31,MATCH(2,'Base Jogadores'!$Q$2:$Q$31,0)),"")</f>
        <v>яαzεгαł        ッ #yse</v>
      </c>
      <c r="E8" s="22" t="str">
        <f t="array" ref="E8">IFERROR(INDEX('Base Jogadores'!$C$2:$C$31,MATCH(2,'Base Jogadores'!$Q$2:$Q$31,0)),"")</f>
        <v>Diamante</v>
      </c>
      <c r="F8" s="21">
        <f t="array" ref="F8">IFERROR(INDEX('Base Jogadores'!$D$2:$D$31,MATCH(2,'Base Jogadores'!$Q$2:$Q$31,0)),"")</f>
        <v>8</v>
      </c>
      <c r="G8" s="23">
        <f t="shared" si="1"/>
        <v>0.9628602975</v>
      </c>
      <c r="H8" s="22">
        <f t="shared" si="2"/>
        <v>1</v>
      </c>
    </row>
    <row r="9">
      <c r="B9" s="21">
        <v>3.0</v>
      </c>
      <c r="C9" s="22" t="str">
        <f t="array" ref="C9">IFERROR(INDEX('Base Jogadores'!$A$2:$A$31,MATCH(3,'Base Jogadores'!$Q$2:$Q$31,0)),"")</f>
        <v>Junior</v>
      </c>
      <c r="D9" s="21" t="str">
        <f t="array" ref="D9">IFERROR(INDEX('Base Jogadores'!$B$2:$B$31,MATCH(3,'Base Jogadores'!$Q$2:$Q$31,0)),"")</f>
        <v>Sabor Energético #1777</v>
      </c>
      <c r="E9" s="22" t="str">
        <f t="array" ref="E9">IFERROR(INDEX('Base Jogadores'!$C$2:$C$31,MATCH(3,'Base Jogadores'!$Q$2:$Q$31,0)),"")</f>
        <v>Prata</v>
      </c>
      <c r="F9" s="21">
        <f t="array" ref="F9">IFERROR(INDEX('Base Jogadores'!$D$2:$D$31,MATCH(3,'Base Jogadores'!$Q$2:$Q$31,0)),"")</f>
        <v>3</v>
      </c>
      <c r="G9" s="23">
        <f t="shared" si="1"/>
        <v>0.9113550238</v>
      </c>
      <c r="H9" s="22">
        <f t="shared" si="2"/>
        <v>2</v>
      </c>
    </row>
    <row r="10">
      <c r="B10" s="21">
        <v>4.0</v>
      </c>
      <c r="C10" s="22" t="str">
        <f t="array" ref="C10">IFERROR(INDEX('Base Jogadores'!$A$2:$A$31,MATCH(4,'Base Jogadores'!$Q$2:$Q$31,0)),"")</f>
        <v>Jeferson/ Heimer</v>
      </c>
      <c r="D10" s="21" t="str">
        <f t="array" ref="D10">IFERROR(INDEX('Base Jogadores'!$B$2:$B$31,MATCH(4,'Base Jogadores'!$Q$2:$Q$31,0)),"")</f>
        <v>N4firida  agiota #7937</v>
      </c>
      <c r="E10" s="22" t="str">
        <f t="array" ref="E10">IFERROR(INDEX('Base Jogadores'!$C$2:$C$31,MATCH(4,'Base Jogadores'!$Q$2:$Q$31,0)),"")</f>
        <v>Ouro</v>
      </c>
      <c r="F10" s="21">
        <f t="array" ref="F10">IFERROR(INDEX('Base Jogadores'!$D$2:$D$31,MATCH(4,'Base Jogadores'!$Q$2:$Q$31,0)),"")</f>
        <v>4</v>
      </c>
      <c r="G10" s="23">
        <f t="shared" si="1"/>
        <v>0.404458456</v>
      </c>
      <c r="H10" s="22">
        <f t="shared" si="2"/>
        <v>5</v>
      </c>
    </row>
    <row r="11">
      <c r="B11" s="21">
        <v>5.0</v>
      </c>
      <c r="C11" s="22" t="str">
        <f t="array" ref="C11">IFERROR(INDEX('Base Jogadores'!$A$2:$A$31,MATCH(5,'Base Jogadores'!$Q$2:$Q$31,0)),"")</f>
        <v>Heitor Silva</v>
      </c>
      <c r="D11" s="21" t="str">
        <f t="array" ref="D11">IFERROR(INDEX('Base Jogadores'!$B$2:$B$31,MATCH(5,'Base Jogadores'!$Q$2:$Q$31,0)),"")</f>
        <v>tikin d calcinha#jcdk</v>
      </c>
      <c r="E11" s="22" t="str">
        <f t="array" ref="E11">IFERROR(INDEX('Base Jogadores'!$C$2:$C$31,MATCH(5,'Base Jogadores'!$Q$2:$Q$31,0)),"")</f>
        <v>Ouro</v>
      </c>
      <c r="F11" s="21">
        <f t="array" ref="F11">IFERROR(INDEX('Base Jogadores'!$D$2:$D$31,MATCH(5,'Base Jogadores'!$Q$2:$Q$31,0)),"")</f>
        <v>4</v>
      </c>
      <c r="G11" s="23">
        <f t="shared" si="1"/>
        <v>0.10340045</v>
      </c>
      <c r="H11" s="22">
        <f t="shared" si="2"/>
        <v>6</v>
      </c>
    </row>
    <row r="12">
      <c r="B12" s="21">
        <v>6.0</v>
      </c>
      <c r="C12" s="22" t="str">
        <f t="array" ref="C12">IFERROR(INDEX('Base Jogadores'!$A$2:$A$31,MATCH(6,'Base Jogadores'!$Q$2:$Q$31,0)),"")</f>
        <v>Luix Silva</v>
      </c>
      <c r="D12" s="21" t="str">
        <f t="array" ref="D12">IFERROR(INDEX('Base Jogadores'!$B$2:$B$31,MATCH(6,'Base Jogadores'!$Q$2:$Q$31,0)),"")</f>
        <v>Z0E Baiana #br1</v>
      </c>
      <c r="E12" s="22" t="str">
        <f t="array" ref="E12">IFERROR(INDEX('Base Jogadores'!$C$2:$C$31,MATCH(6,'Base Jogadores'!$Q$2:$Q$31,0)),"")</f>
        <v>Platina</v>
      </c>
      <c r="F12" s="21">
        <f t="array" ref="F12">IFERROR(INDEX('Base Jogadores'!$D$2:$D$31,MATCH(6,'Base Jogadores'!$Q$2:$Q$31,0)),"")</f>
        <v>5</v>
      </c>
      <c r="G12" s="23">
        <f t="shared" si="1"/>
        <v>0.7416502951</v>
      </c>
      <c r="H12" s="22">
        <f t="shared" si="2"/>
        <v>4</v>
      </c>
    </row>
    <row r="13">
      <c r="B13" s="24"/>
      <c r="C13" s="24"/>
      <c r="D13" s="24"/>
      <c r="E13" s="24"/>
      <c r="F13" s="24"/>
      <c r="G13" s="24"/>
      <c r="H13" s="24"/>
    </row>
    <row r="14">
      <c r="B14" s="24"/>
      <c r="C14" s="24"/>
      <c r="D14" s="24"/>
      <c r="E14" s="24"/>
      <c r="F14" s="24"/>
      <c r="G14" s="24"/>
      <c r="H14" s="24"/>
    </row>
    <row r="15">
      <c r="B15" s="25" t="s">
        <v>47</v>
      </c>
      <c r="C15" s="24"/>
      <c r="D15" s="24"/>
      <c r="E15" s="24"/>
      <c r="F15" s="24"/>
      <c r="G15" s="24"/>
      <c r="H15" s="24"/>
    </row>
    <row r="16">
      <c r="B16" s="10" t="s">
        <v>48</v>
      </c>
      <c r="C16" s="10" t="s">
        <v>42</v>
      </c>
      <c r="D16" s="10" t="s">
        <v>43</v>
      </c>
      <c r="E16" s="10" t="s">
        <v>17</v>
      </c>
      <c r="F16" s="10" t="s">
        <v>44</v>
      </c>
      <c r="G16" s="24"/>
      <c r="H16" s="24"/>
    </row>
    <row r="17">
      <c r="B17" s="26" t="s">
        <v>49</v>
      </c>
      <c r="C17" s="27" t="str">
        <f t="array" ref="C17">IFERROR(INDEX($C$7:$C$12,MATCH(1,$H$7:$H$12,0)),"")</f>
        <v>Lucas Oliveira</v>
      </c>
      <c r="D17" s="12" t="str">
        <f t="array" ref="D17">IFERROR(INDEX($D$7:$D$12,MATCH(1,$H$7:$H$12,0)),"")</f>
        <v>яαzεгαł        ッ #yse</v>
      </c>
      <c r="E17" s="26" t="str">
        <f t="array" ref="E17">IFERROR(INDEX($E$7:$E$12,MATCH(1,$H$7:$H$12,0)),"")</f>
        <v>Diamante</v>
      </c>
      <c r="F17" s="12">
        <f t="array" ref="F17">IFERROR(INDEX($F$7:$F$12,MATCH(1,$H$7:$H$12,0)),"")</f>
        <v>8</v>
      </c>
      <c r="G17" s="24"/>
      <c r="H17" s="24"/>
    </row>
    <row r="18">
      <c r="B18" s="26" t="s">
        <v>50</v>
      </c>
      <c r="C18" s="27" t="str">
        <f t="array" ref="C18">IFERROR(INDEX($C$7:$C$12,MATCH(2,$H$7:$H$12,0)),"")</f>
        <v>Junior</v>
      </c>
      <c r="D18" s="12" t="str">
        <f t="array" ref="D18">IFERROR(INDEX($D$7:$D$12,MATCH(2,$H$7:$H$12,0)),"")</f>
        <v>Sabor Energético #1777</v>
      </c>
      <c r="E18" s="26" t="str">
        <f t="array" ref="E18">IFERROR(INDEX($E$7:$E$12,MATCH(2,$H$7:$H$12,0)),"")</f>
        <v>Prata</v>
      </c>
      <c r="F18" s="12">
        <f t="array" ref="F18">IFERROR(INDEX($F$7:$F$12,MATCH(2,$H$7:$H$12,0)),"")</f>
        <v>3</v>
      </c>
      <c r="G18" s="24"/>
      <c r="H18" s="24"/>
    </row>
    <row r="19">
      <c r="B19" s="26" t="s">
        <v>51</v>
      </c>
      <c r="C19" s="27" t="str">
        <f t="array" ref="C19">IFERROR(INDEX($C$7:$C$12,MATCH(3,$H$7:$H$12,0)),"")</f>
        <v>Felipe / Satoshi</v>
      </c>
      <c r="D19" s="12" t="str">
        <f t="array" ref="D19">IFERROR(INDEX($D$7:$D$12,MATCH(3,$H$7:$H$12,0)),"")</f>
        <v>Satoshi #VDD</v>
      </c>
      <c r="E19" s="26" t="str">
        <f t="array" ref="E19">IFERROR(INDEX($E$7:$E$12,MATCH(3,$H$7:$H$12,0)),"")</f>
        <v>Platina</v>
      </c>
      <c r="F19" s="12">
        <f t="array" ref="F19">IFERROR(INDEX($F$7:$F$12,MATCH(3,$H$7:$H$12,0)),"")</f>
        <v>5</v>
      </c>
      <c r="G19" s="24"/>
      <c r="H19" s="24"/>
    </row>
    <row r="20">
      <c r="B20" s="26" t="s">
        <v>52</v>
      </c>
      <c r="C20" s="27" t="str">
        <f t="array" ref="C20">IFERROR(INDEX($C$7:$C$12,MATCH(4,$H$7:$H$12,0)),"")</f>
        <v>Luix Silva</v>
      </c>
      <c r="D20" s="12" t="str">
        <f t="array" ref="D20">IFERROR(INDEX($D$7:$D$12,MATCH(4,$H$7:$H$12,0)),"")</f>
        <v>Z0E Baiana #br1</v>
      </c>
      <c r="E20" s="26" t="str">
        <f t="array" ref="E20">IFERROR(INDEX($E$7:$E$12,MATCH(4,$H$7:$H$12,0)),"")</f>
        <v>Platina</v>
      </c>
      <c r="F20" s="12">
        <f t="array" ref="F20">IFERROR(INDEX($F$7:$F$12,MATCH(4,$H$7:$H$12,0)),"")</f>
        <v>5</v>
      </c>
      <c r="G20" s="24"/>
      <c r="H20" s="24"/>
    </row>
    <row r="21" ht="15.75" customHeight="1">
      <c r="B21" s="26" t="s">
        <v>53</v>
      </c>
      <c r="C21" s="27" t="str">
        <f t="array" ref="C21">IFERROR(INDEX($C$7:$C$12,MATCH(5,$H$7:$H$12,0)),"")</f>
        <v>Jeferson/ Heimer</v>
      </c>
      <c r="D21" s="12" t="str">
        <f t="array" ref="D21">IFERROR(INDEX($D$7:$D$12,MATCH(5,$H$7:$H$12,0)),"")</f>
        <v>N4firida  agiota #7937</v>
      </c>
      <c r="E21" s="26" t="str">
        <f t="array" ref="E21">IFERROR(INDEX($E$7:$E$12,MATCH(5,$H$7:$H$12,0)),"")</f>
        <v>Ouro</v>
      </c>
      <c r="F21" s="12">
        <f t="array" ref="F21">IFERROR(INDEX($F$7:$F$12,MATCH(5,$H$7:$H$12,0)),"")</f>
        <v>4</v>
      </c>
      <c r="G21" s="24"/>
      <c r="H21" s="24"/>
    </row>
    <row r="22" ht="15.75" customHeight="1">
      <c r="B22" s="26" t="s">
        <v>54</v>
      </c>
      <c r="C22" s="27" t="str">
        <f t="array" ref="C22">IFERROR(INDEX($C$7:$C$12,MATCH(6,$H$7:$H$12,0)),"")</f>
        <v>Heitor Silva</v>
      </c>
      <c r="D22" s="12" t="str">
        <f t="array" ref="D22">IFERROR(INDEX($D$7:$D$12,MATCH(6,$H$7:$H$12,0)),"")</f>
        <v>tikin d calcinha#jcdk</v>
      </c>
      <c r="E22" s="26" t="str">
        <f t="array" ref="E22">IFERROR(INDEX($E$7:$E$12,MATCH(6,$H$7:$H$12,0)),"")</f>
        <v>Ouro</v>
      </c>
      <c r="F22" s="12">
        <f t="array" ref="F22">IFERROR(INDEX($F$7:$F$12,MATCH(6,$H$7:$H$12,0)),"")</f>
        <v>4</v>
      </c>
      <c r="G22" s="24"/>
      <c r="H22" s="24"/>
    </row>
    <row r="23" ht="15.75" customHeight="1">
      <c r="B23" s="24"/>
      <c r="C23" s="24"/>
      <c r="D23" s="24"/>
      <c r="E23" s="24"/>
      <c r="F23" s="24"/>
      <c r="G23" s="24"/>
      <c r="H23" s="24"/>
    </row>
    <row r="24" ht="15.75" customHeight="1">
      <c r="B24" s="28" t="s">
        <v>55</v>
      </c>
      <c r="G24" s="24"/>
      <c r="H24" s="24"/>
    </row>
    <row r="25" ht="15.75" customHeight="1">
      <c r="B25" s="24"/>
      <c r="C25" s="24"/>
      <c r="D25" s="24"/>
      <c r="E25" s="24"/>
      <c r="F25" s="24"/>
      <c r="G25" s="24"/>
      <c r="H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H4"/>
    <mergeCell ref="B24:F2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6.0"/>
    <col customWidth="1" min="3" max="3" width="21.71"/>
    <col customWidth="1" min="4" max="4" width="23.29"/>
    <col customWidth="1" min="5" max="5" width="13.0"/>
    <col customWidth="1" min="6" max="6" width="10.0"/>
    <col customWidth="1" min="7" max="7" width="11.0"/>
    <col customWidth="1" min="8" max="8" width="16.0"/>
    <col customWidth="1" min="9" max="26" width="8.71"/>
  </cols>
  <sheetData>
    <row r="2">
      <c r="B2" s="1" t="s">
        <v>56</v>
      </c>
    </row>
    <row r="3" ht="30.0" customHeight="1">
      <c r="B3" s="29" t="s">
        <v>57</v>
      </c>
    </row>
    <row r="5" ht="27.75" customHeight="1">
      <c r="B5" s="10" t="s">
        <v>48</v>
      </c>
      <c r="C5" s="10" t="s">
        <v>58</v>
      </c>
      <c r="D5" s="10" t="s">
        <v>59</v>
      </c>
      <c r="E5" s="10" t="s">
        <v>60</v>
      </c>
      <c r="F5" s="10" t="s">
        <v>61</v>
      </c>
      <c r="G5" s="10" t="s">
        <v>18</v>
      </c>
      <c r="H5" s="10" t="s">
        <v>62</v>
      </c>
    </row>
    <row r="6">
      <c r="B6" s="30" t="s">
        <v>49</v>
      </c>
      <c r="C6" s="30"/>
      <c r="D6" s="31">
        <f>'Valores por Elo'!$C$23</f>
        <v>30</v>
      </c>
      <c r="E6" s="26">
        <f>SUMIFS('Base Jogadores'!$D$2:$D$31,'Base Jogadores'!$M$2:$M$31,$B6)</f>
        <v>26</v>
      </c>
      <c r="F6" s="26">
        <f t="shared" ref="F6:F11" si="1">D6-E6</f>
        <v>4</v>
      </c>
      <c r="G6" s="12">
        <f>COUNTIF('Base Jogadores'!$M$2:$M$31,$B6)</f>
        <v>5</v>
      </c>
      <c r="H6" s="26" t="str">
        <f t="shared" ref="H6:H11" si="2">IF(G6&gt;5,"⚠ Excesso",IF(F6&lt;0,"⚠ Orçamento estourado",IF(G6=5,"✅ Completo","Incompleto")))</f>
        <v>✅ Completo</v>
      </c>
    </row>
    <row r="7">
      <c r="B7" s="30" t="s">
        <v>50</v>
      </c>
      <c r="C7" s="30"/>
      <c r="D7" s="31">
        <f>'Valores por Elo'!$C$23</f>
        <v>30</v>
      </c>
      <c r="E7" s="26">
        <f>SUMIFS('Base Jogadores'!$D$2:$D$31,'Base Jogadores'!$M$2:$M$31,$B7)</f>
        <v>29</v>
      </c>
      <c r="F7" s="26">
        <f t="shared" si="1"/>
        <v>1</v>
      </c>
      <c r="G7" s="12">
        <f>COUNTIF('Base Jogadores'!$M$2:$M$31,$B7)</f>
        <v>5</v>
      </c>
      <c r="H7" s="26" t="str">
        <f t="shared" si="2"/>
        <v>✅ Completo</v>
      </c>
    </row>
    <row r="8">
      <c r="B8" s="30" t="s">
        <v>51</v>
      </c>
      <c r="C8" s="30"/>
      <c r="D8" s="31">
        <f>'Valores por Elo'!$C$23</f>
        <v>30</v>
      </c>
      <c r="E8" s="26">
        <f>SUMIFS('Base Jogadores'!$D$2:$D$31,'Base Jogadores'!$M$2:$M$31,$B8)</f>
        <v>25</v>
      </c>
      <c r="F8" s="26">
        <f t="shared" si="1"/>
        <v>5</v>
      </c>
      <c r="G8" s="12">
        <f>COUNTIF('Base Jogadores'!$M$2:$M$31,$B8)</f>
        <v>5</v>
      </c>
      <c r="H8" s="26" t="str">
        <f t="shared" si="2"/>
        <v>✅ Completo</v>
      </c>
    </row>
    <row r="9">
      <c r="B9" s="30" t="s">
        <v>52</v>
      </c>
      <c r="C9" s="30"/>
      <c r="D9" s="31">
        <f>'Valores por Elo'!$C$23</f>
        <v>30</v>
      </c>
      <c r="E9" s="26">
        <f>SUMIFS('Base Jogadores'!$D$2:$D$31,'Base Jogadores'!$M$2:$M$31,$B9)</f>
        <v>21</v>
      </c>
      <c r="F9" s="26">
        <f t="shared" si="1"/>
        <v>9</v>
      </c>
      <c r="G9" s="12">
        <f>COUNTIF('Base Jogadores'!$M$2:$M$31,$B9)</f>
        <v>5</v>
      </c>
      <c r="H9" s="26" t="str">
        <f t="shared" si="2"/>
        <v>✅ Completo</v>
      </c>
    </row>
    <row r="10">
      <c r="B10" s="30" t="s">
        <v>53</v>
      </c>
      <c r="C10" s="30"/>
      <c r="D10" s="31">
        <f>'Valores por Elo'!$C$23</f>
        <v>30</v>
      </c>
      <c r="E10" s="26">
        <f>SUMIFS('Base Jogadores'!$D$2:$D$31,'Base Jogadores'!$M$2:$M$31,$B10)</f>
        <v>26</v>
      </c>
      <c r="F10" s="26">
        <f t="shared" si="1"/>
        <v>4</v>
      </c>
      <c r="G10" s="12">
        <f>COUNTIF('Base Jogadores'!$M$2:$M$31,$B10)</f>
        <v>5</v>
      </c>
      <c r="H10" s="26" t="str">
        <f t="shared" si="2"/>
        <v>✅ Completo</v>
      </c>
    </row>
    <row r="11">
      <c r="B11" s="30" t="s">
        <v>54</v>
      </c>
      <c r="C11" s="30"/>
      <c r="D11" s="31">
        <f>'Valores por Elo'!$C$23</f>
        <v>30</v>
      </c>
      <c r="E11" s="26">
        <f>SUMIFS('Base Jogadores'!$D$2:$D$31,'Base Jogadores'!$M$2:$M$31,$B11)</f>
        <v>29</v>
      </c>
      <c r="F11" s="26">
        <f t="shared" si="1"/>
        <v>1</v>
      </c>
      <c r="G11" s="12">
        <f>COUNTIF('Base Jogadores'!$M$2:$M$31,$B11)</f>
        <v>5</v>
      </c>
      <c r="H11" s="26" t="str">
        <f t="shared" si="2"/>
        <v>✅ Completo</v>
      </c>
    </row>
    <row r="14">
      <c r="B14" s="9" t="s">
        <v>63</v>
      </c>
    </row>
    <row r="15">
      <c r="B15" s="10" t="s">
        <v>29</v>
      </c>
      <c r="C15" s="10" t="str">
        <f>$B$6</f>
        <v>Time 1</v>
      </c>
      <c r="D15" s="10" t="str">
        <f>$B$7</f>
        <v>Time 2</v>
      </c>
      <c r="E15" s="10" t="str">
        <f>$B$8</f>
        <v>Time 3</v>
      </c>
      <c r="F15" s="10" t="str">
        <f>$B$9</f>
        <v>Time 4</v>
      </c>
      <c r="G15" s="10" t="str">
        <f>$B$10</f>
        <v>Time 5</v>
      </c>
      <c r="H15" s="10" t="str">
        <f>$B$11</f>
        <v>Time 6</v>
      </c>
    </row>
    <row r="16">
      <c r="B16" s="32" t="s">
        <v>32</v>
      </c>
      <c r="C16" s="26">
        <f>COUNTIFS('Base Jogadores'!$E$2:$E$31,"Toplane",'Base Jogadores'!$M$2:$M$31,C$15)</f>
        <v>1</v>
      </c>
      <c r="D16" s="26">
        <f>COUNTIFS('Base Jogadores'!$E$2:$E$31,"Toplane",'Base Jogadores'!$M$2:$M$31,D$15)</f>
        <v>1</v>
      </c>
      <c r="E16" s="26">
        <f>COUNTIFS('Base Jogadores'!$E$2:$E$31,"Toplane",'Base Jogadores'!$M$2:$M$31,E$15)</f>
        <v>0</v>
      </c>
      <c r="F16" s="26">
        <f>COUNTIFS('Base Jogadores'!$E$2:$E$31,"Toplane",'Base Jogadores'!$M$2:$M$31,F$15)</f>
        <v>1</v>
      </c>
      <c r="G16" s="26">
        <f>COUNTIFS('Base Jogadores'!$E$2:$E$31,"Toplane",'Base Jogadores'!$M$2:$M$31,G$15)</f>
        <v>1</v>
      </c>
      <c r="H16" s="26">
        <f>COUNTIFS('Base Jogadores'!$E$2:$E$31,"Toplane",'Base Jogadores'!$M$2:$M$31,H$15)</f>
        <v>1</v>
      </c>
    </row>
    <row r="17">
      <c r="B17" s="33" t="s">
        <v>33</v>
      </c>
      <c r="C17" s="26">
        <f>COUNTIFS('Base Jogadores'!$E$2:$E$31,"Jungler",'Base Jogadores'!$M$2:$M$31,C$15)</f>
        <v>1</v>
      </c>
      <c r="D17" s="26">
        <f>COUNTIFS('Base Jogadores'!$E$2:$E$31,"Jungler",'Base Jogadores'!$M$2:$M$31,D$15)</f>
        <v>1</v>
      </c>
      <c r="E17" s="26">
        <f>COUNTIFS('Base Jogadores'!$E$2:$E$31,"Jungler",'Base Jogadores'!$M$2:$M$31,E$15)</f>
        <v>1</v>
      </c>
      <c r="F17" s="26">
        <f>COUNTIFS('Base Jogadores'!$E$2:$E$31,"Jungler",'Base Jogadores'!$M$2:$M$31,F$15)</f>
        <v>1</v>
      </c>
      <c r="G17" s="26">
        <f>COUNTIFS('Base Jogadores'!$E$2:$E$31,"Jungler",'Base Jogadores'!$M$2:$M$31,G$15)</f>
        <v>0</v>
      </c>
      <c r="H17" s="26">
        <f>COUNTIFS('Base Jogadores'!$E$2:$E$31,"Jungler",'Base Jogadores'!$M$2:$M$31,H$15)</f>
        <v>0</v>
      </c>
    </row>
    <row r="18">
      <c r="B18" s="34" t="s">
        <v>34</v>
      </c>
      <c r="C18" s="26">
        <f>COUNTIFS('Base Jogadores'!$E$2:$E$31,"Midlane",'Base Jogadores'!$M$2:$M$31,C$15)</f>
        <v>1</v>
      </c>
      <c r="D18" s="26">
        <f>COUNTIFS('Base Jogadores'!$E$2:$E$31,"Midlane",'Base Jogadores'!$M$2:$M$31,D$15)</f>
        <v>1</v>
      </c>
      <c r="E18" s="26">
        <f>COUNTIFS('Base Jogadores'!$E$2:$E$31,"Midlane",'Base Jogadores'!$M$2:$M$31,E$15)</f>
        <v>1</v>
      </c>
      <c r="F18" s="26">
        <f>COUNTIFS('Base Jogadores'!$E$2:$E$31,"Midlane",'Base Jogadores'!$M$2:$M$31,F$15)</f>
        <v>1</v>
      </c>
      <c r="G18" s="26">
        <f>COUNTIFS('Base Jogadores'!$E$2:$E$31,"Midlane",'Base Jogadores'!$M$2:$M$31,G$15)</f>
        <v>1</v>
      </c>
      <c r="H18" s="26">
        <f>COUNTIFS('Base Jogadores'!$E$2:$E$31,"Midlane",'Base Jogadores'!$M$2:$M$31,H$15)</f>
        <v>1</v>
      </c>
    </row>
    <row r="19">
      <c r="B19" s="35" t="s">
        <v>35</v>
      </c>
      <c r="C19" s="26">
        <f>COUNTIFS('Base Jogadores'!$E$2:$E$31,"Adcarry",'Base Jogadores'!$M$2:$M$31,C$15)</f>
        <v>1</v>
      </c>
      <c r="D19" s="26">
        <f>COUNTIFS('Base Jogadores'!$E$2:$E$31,"Adcarry",'Base Jogadores'!$M$2:$M$31,D$15)</f>
        <v>1</v>
      </c>
      <c r="E19" s="26">
        <f>COUNTIFS('Base Jogadores'!$E$2:$E$31,"Adcarry",'Base Jogadores'!$M$2:$M$31,E$15)</f>
        <v>3</v>
      </c>
      <c r="F19" s="26">
        <f>COUNTIFS('Base Jogadores'!$E$2:$E$31,"Adcarry",'Base Jogadores'!$M$2:$M$31,F$15)</f>
        <v>1</v>
      </c>
      <c r="G19" s="26">
        <f>COUNTIFS('Base Jogadores'!$E$2:$E$31,"Adcarry",'Base Jogadores'!$M$2:$M$31,G$15)</f>
        <v>1</v>
      </c>
      <c r="H19" s="26">
        <f>COUNTIFS('Base Jogadores'!$E$2:$E$31,"Adcarry",'Base Jogadores'!$M$2:$M$31,H$15)</f>
        <v>2</v>
      </c>
    </row>
    <row r="20">
      <c r="B20" s="36" t="s">
        <v>36</v>
      </c>
      <c r="C20" s="26">
        <f>COUNTIFS('Base Jogadores'!$E$2:$E$31,"Suport",'Base Jogadores'!$M$2:$M$31,C$15)</f>
        <v>1</v>
      </c>
      <c r="D20" s="26">
        <f>COUNTIFS('Base Jogadores'!$E$2:$E$31,"Suport",'Base Jogadores'!$M$2:$M$31,D$15)</f>
        <v>1</v>
      </c>
      <c r="E20" s="26">
        <f>COUNTIFS('Base Jogadores'!$E$2:$E$31,"Suport",'Base Jogadores'!$M$2:$M$31,E$15)</f>
        <v>0</v>
      </c>
      <c r="F20" s="26">
        <f>COUNTIFS('Base Jogadores'!$E$2:$E$31,"Suport",'Base Jogadores'!$M$2:$M$31,F$15)</f>
        <v>1</v>
      </c>
      <c r="G20" s="26">
        <f>COUNTIFS('Base Jogadores'!$E$2:$E$31,"Suport",'Base Jogadores'!$M$2:$M$31,G$15)</f>
        <v>2</v>
      </c>
      <c r="H20" s="26">
        <f>COUNTIFS('Base Jogadores'!$E$2:$E$31,"Suport",'Base Jogadores'!$M$2:$M$31,H$15)</f>
        <v>1</v>
      </c>
    </row>
    <row r="21" ht="15.75" customHeight="1"/>
    <row r="22" ht="15.75" customHeight="1">
      <c r="B22" s="37" t="s">
        <v>64</v>
      </c>
      <c r="C22" s="37"/>
      <c r="D22" s="37"/>
      <c r="E22" s="37"/>
      <c r="F22" s="37"/>
      <c r="G22" s="37"/>
    </row>
    <row r="23" ht="15.75" customHeight="1">
      <c r="B23" s="37"/>
      <c r="C23" s="37"/>
      <c r="D23" s="37"/>
      <c r="E23" s="37"/>
      <c r="F23" s="37"/>
      <c r="G23" s="37"/>
    </row>
    <row r="24" ht="15.75" customHeight="1"/>
    <row r="25" ht="15.75" customHeight="1">
      <c r="B25" s="9" t="s">
        <v>65</v>
      </c>
    </row>
    <row r="26" ht="15.75" customHeight="1"/>
    <row r="27" ht="15.75" customHeight="1">
      <c r="B27" s="38" t="str">
        <f>$B$6&amp;" — Capitão: "&amp;IF($C$6="","(HEITOR SILVA)",$C$6)</f>
        <v>Time 1 — Capitão: (HEITOR SILVA)</v>
      </c>
    </row>
    <row r="28" ht="15.75" customHeight="1">
      <c r="B28" s="20" t="s">
        <v>41</v>
      </c>
      <c r="C28" s="20" t="s">
        <v>42</v>
      </c>
      <c r="D28" s="20" t="s">
        <v>43</v>
      </c>
      <c r="E28" s="20" t="s">
        <v>17</v>
      </c>
      <c r="F28" s="20" t="s">
        <v>44</v>
      </c>
      <c r="G28" s="20" t="s">
        <v>29</v>
      </c>
    </row>
    <row r="29" ht="15.75" customHeight="1">
      <c r="B29" s="21">
        <v>1.0</v>
      </c>
      <c r="C29" s="39" t="str">
        <f t="array" ref="C29">IFERROR(INDEX('Base Jogadores'!$A$2:$A$31,MATCH($B$6&amp;"|"&amp;1,'Base Jogadores'!$O$2:$O$31,0)),"")</f>
        <v>Alefh Nakayama</v>
      </c>
      <c r="D29" s="39" t="str">
        <f t="array" ref="D29">IFERROR(INDEX('Base Jogadores'!$B$2:$B$31,MATCH($B$6&amp;"|"&amp;1,'Base Jogadores'!$O$2:$O$31,0)),"")</f>
        <v>nak4y#JPN</v>
      </c>
      <c r="E29" s="21" t="str">
        <f t="array" ref="E29">IFERROR(INDEX('Base Jogadores'!$C$2:$C$31,MATCH($B$6&amp;"|"&amp;1,'Base Jogadores'!$O$2:$O$31,0)),"")</f>
        <v>Mestre</v>
      </c>
      <c r="F29" s="21">
        <f t="array" ref="F29">IFERROR(INDEX('Base Jogadores'!$D$2:$D$31,MATCH($B$6&amp;"|"&amp;1,'Base Jogadores'!$O$2:$O$31,0)),"")</f>
        <v>10</v>
      </c>
      <c r="G29" s="21" t="str">
        <f t="array" ref="G29">IFERROR(INDEX('Base Jogadores'!$E$2:$E$31,MATCH($B$6&amp;"|"&amp;1,'Base Jogadores'!$O$2:$O$31,0)),"")</f>
        <v>Jungler</v>
      </c>
    </row>
    <row r="30" ht="15.75" customHeight="1">
      <c r="B30" s="21">
        <v>2.0</v>
      </c>
      <c r="C30" s="39" t="str">
        <f t="array" ref="C30">IFERROR(INDEX('Base Jogadores'!$A$2:$A$31,MATCH($B$6&amp;"|"&amp;2,'Base Jogadores'!$O$2:$O$31,0)),"")</f>
        <v>Heitor Silva</v>
      </c>
      <c r="D30" s="39" t="str">
        <f t="array" ref="D30">IFERROR(INDEX('Base Jogadores'!$B$2:$B$31,MATCH($B$6&amp;"|"&amp;2,'Base Jogadores'!$O$2:$O$31,0)),"")</f>
        <v>tikin d calcinha#jcdk</v>
      </c>
      <c r="E30" s="21" t="str">
        <f t="array" ref="E30">IFERROR(INDEX('Base Jogadores'!$C$2:$C$31,MATCH($B$6&amp;"|"&amp;2,'Base Jogadores'!$O$2:$O$31,0)),"")</f>
        <v>Ouro</v>
      </c>
      <c r="F30" s="21">
        <f t="array" ref="F30">IFERROR(INDEX('Base Jogadores'!$D$2:$D$31,MATCH($B$6&amp;"|"&amp;2,'Base Jogadores'!$O$2:$O$31,0)),"")</f>
        <v>4</v>
      </c>
      <c r="G30" s="21" t="str">
        <f t="array" ref="G30">IFERROR(INDEX('Base Jogadores'!$E$2:$E$31,MATCH($B$6&amp;"|"&amp;2,'Base Jogadores'!$O$2:$O$31,0)),"")</f>
        <v>Midlane</v>
      </c>
    </row>
    <row r="31" ht="15.75" customHeight="1">
      <c r="B31" s="21">
        <v>3.0</v>
      </c>
      <c r="C31" s="39" t="str">
        <f t="array" ref="C31">IFERROR(INDEX('Base Jogadores'!$A$2:$A$31,MATCH($B$6&amp;"|"&amp;3,'Base Jogadores'!$O$2:$O$31,0)),"")</f>
        <v>Álvaro Jorge</v>
      </c>
      <c r="D31" s="39" t="str">
        <f t="array" ref="D31">IFERROR(INDEX('Base Jogadores'!$B$2:$B$31,MATCH($B$6&amp;"|"&amp;3,'Base Jogadores'!$O$2:$O$31,0)),"")</f>
        <v>Tapa de doido #ats</v>
      </c>
      <c r="E31" s="21" t="str">
        <f t="array" ref="E31">IFERROR(INDEX('Base Jogadores'!$C$2:$C$31,MATCH($B$6&amp;"|"&amp;3,'Base Jogadores'!$O$2:$O$31,0)),"")</f>
        <v>Platina</v>
      </c>
      <c r="F31" s="21">
        <f t="array" ref="F31">IFERROR(INDEX('Base Jogadores'!$D$2:$D$31,MATCH($B$6&amp;"|"&amp;3,'Base Jogadores'!$O$2:$O$31,0)),"")</f>
        <v>5</v>
      </c>
      <c r="G31" s="21" t="str">
        <f t="array" ref="G31">IFERROR(INDEX('Base Jogadores'!$E$2:$E$31,MATCH($B$6&amp;"|"&amp;3,'Base Jogadores'!$O$2:$O$31,0)),"")</f>
        <v>Toplane</v>
      </c>
    </row>
    <row r="32" ht="15.75" customHeight="1">
      <c r="B32" s="21">
        <v>4.0</v>
      </c>
      <c r="C32" s="39" t="str">
        <f t="array" ref="C32">IFERROR(INDEX('Base Jogadores'!$A$2:$A$31,MATCH($B$6&amp;"|"&amp;4,'Base Jogadores'!$O$2:$O$31,0)),"")</f>
        <v>Lipão Campolina</v>
      </c>
      <c r="D32" s="39" t="str">
        <f t="array" ref="D32">IFERROR(INDEX('Base Jogadores'!$B$2:$B$31,MATCH($B$6&amp;"|"&amp;4,'Base Jogadores'!$O$2:$O$31,0)),"")</f>
        <v>GAR3NA#333</v>
      </c>
      <c r="E32" s="21" t="str">
        <f t="array" ref="E32">IFERROR(INDEX('Base Jogadores'!$C$2:$C$31,MATCH($B$6&amp;"|"&amp;4,'Base Jogadores'!$O$2:$O$31,0)),"")</f>
        <v>Ouro</v>
      </c>
      <c r="F32" s="21">
        <f t="array" ref="F32">IFERROR(INDEX('Base Jogadores'!$D$2:$D$31,MATCH($B$6&amp;"|"&amp;4,'Base Jogadores'!$O$2:$O$31,0)),"")</f>
        <v>4</v>
      </c>
      <c r="G32" s="21" t="str">
        <f t="array" ref="G32">IFERROR(INDEX('Base Jogadores'!$E$2:$E$31,MATCH($B$6&amp;"|"&amp;4,'Base Jogadores'!$O$2:$O$31,0)),"")</f>
        <v>Suport</v>
      </c>
    </row>
    <row r="33" ht="15.75" customHeight="1">
      <c r="B33" s="21">
        <v>5.0</v>
      </c>
      <c r="C33" s="39" t="str">
        <f t="array" ref="C33">IFERROR(INDEX('Base Jogadores'!$A$2:$A$31,MATCH($B$6&amp;"|"&amp;5,'Base Jogadores'!$O$2:$O$31,0)),"")</f>
        <v>Fernando da Silva</v>
      </c>
      <c r="D33" s="39" t="str">
        <f t="array" ref="D33">IFERROR(INDEX('Base Jogadores'!$B$2:$B$31,MATCH($B$6&amp;"|"&amp;5,'Base Jogadores'!$O$2:$O$31,0)),"")</f>
        <v>Iranildo Gari#Pilar</v>
      </c>
      <c r="E33" s="21" t="str">
        <f t="array" ref="E33">IFERROR(INDEX('Base Jogadores'!$C$2:$C$31,MATCH($B$6&amp;"|"&amp;5,'Base Jogadores'!$O$2:$O$31,0)),"")</f>
        <v>Prata</v>
      </c>
      <c r="F33" s="21">
        <f t="array" ref="F33">IFERROR(INDEX('Base Jogadores'!$D$2:$D$31,MATCH($B$6&amp;"|"&amp;5,'Base Jogadores'!$O$2:$O$31,0)),"")</f>
        <v>3</v>
      </c>
      <c r="G33" s="21" t="str">
        <f t="array" ref="G33">IFERROR(INDEX('Base Jogadores'!$E$2:$E$31,MATCH($B$6&amp;"|"&amp;5,'Base Jogadores'!$O$2:$O$31,0)),"")</f>
        <v>Adcarry</v>
      </c>
    </row>
    <row r="34" ht="15.75" customHeight="1"/>
    <row r="35" ht="15.75" customHeight="1">
      <c r="B35" s="38" t="str">
        <f>$B$7&amp;" — Capitão: "&amp;IF($C$7="","(SATOSHI)",$C$7)</f>
        <v>Time 2 — Capitão: (SATOSHI)</v>
      </c>
    </row>
    <row r="36" ht="15.75" customHeight="1">
      <c r="B36" s="20" t="s">
        <v>41</v>
      </c>
      <c r="C36" s="20" t="s">
        <v>42</v>
      </c>
      <c r="D36" s="20" t="s">
        <v>43</v>
      </c>
      <c r="E36" s="20" t="s">
        <v>17</v>
      </c>
      <c r="F36" s="20" t="s">
        <v>44</v>
      </c>
      <c r="G36" s="20" t="s">
        <v>29</v>
      </c>
    </row>
    <row r="37" ht="15.75" customHeight="1">
      <c r="B37" s="21">
        <v>1.0</v>
      </c>
      <c r="C37" s="39" t="str">
        <f t="array" ref="C37">IFERROR(INDEX('Base Jogadores'!$A$2:$A$31,MATCH($B$7&amp;"|"&amp;1,'Base Jogadores'!$O$2:$O$31,0)),"")</f>
        <v>Luiz Felipe</v>
      </c>
      <c r="D37" s="39" t="str">
        <f t="array" ref="D37">IFERROR(INDEX('Base Jogadores'!$B$2:$B$31,MATCH($B$7&amp;"|"&amp;1,'Base Jogadores'!$O$2:$O$31,0)),"")</f>
        <v>mxxDragonxxm</v>
      </c>
      <c r="E37" s="21" t="str">
        <f t="array" ref="E37">IFERROR(INDEX('Base Jogadores'!$C$2:$C$31,MATCH($B$7&amp;"|"&amp;1,'Base Jogadores'!$O$2:$O$31,0)),"")</f>
        <v>Diamante</v>
      </c>
      <c r="F37" s="21">
        <f t="array" ref="F37">IFERROR(INDEX('Base Jogadores'!$D$2:$D$31,MATCH($B$7&amp;"|"&amp;1,'Base Jogadores'!$O$2:$O$31,0)),"")</f>
        <v>8</v>
      </c>
      <c r="G37" s="21" t="str">
        <f t="array" ref="G37">IFERROR(INDEX('Base Jogadores'!$E$2:$E$31,MATCH($B$7&amp;"|"&amp;1,'Base Jogadores'!$O$2:$O$31,0)),"")</f>
        <v>Jungler</v>
      </c>
    </row>
    <row r="38" ht="15.75" customHeight="1">
      <c r="B38" s="21">
        <v>2.0</v>
      </c>
      <c r="C38" s="39" t="str">
        <f t="array" ref="C38">IFERROR(INDEX('Base Jogadores'!$A$2:$A$31,MATCH($B$7&amp;"|"&amp;2,'Base Jogadores'!$O$2:$O$31,0)),"")</f>
        <v>Felipe / Satoshi</v>
      </c>
      <c r="D38" s="39" t="str">
        <f t="array" ref="D38">IFERROR(INDEX('Base Jogadores'!$B$2:$B$31,MATCH($B$7&amp;"|"&amp;2,'Base Jogadores'!$O$2:$O$31,0)),"")</f>
        <v>Satoshi #VDD</v>
      </c>
      <c r="E38" s="21" t="str">
        <f t="array" ref="E38">IFERROR(INDEX('Base Jogadores'!$C$2:$C$31,MATCH($B$7&amp;"|"&amp;2,'Base Jogadores'!$O$2:$O$31,0)),"")</f>
        <v>Platina</v>
      </c>
      <c r="F38" s="21">
        <f t="array" ref="F38">IFERROR(INDEX('Base Jogadores'!$D$2:$D$31,MATCH($B$7&amp;"|"&amp;2,'Base Jogadores'!$O$2:$O$31,0)),"")</f>
        <v>5</v>
      </c>
      <c r="G38" s="21" t="str">
        <f t="array" ref="G38">IFERROR(INDEX('Base Jogadores'!$E$2:$E$31,MATCH($B$7&amp;"|"&amp;2,'Base Jogadores'!$O$2:$O$31,0)),"")</f>
        <v>Midlane</v>
      </c>
    </row>
    <row r="39" ht="15.75" customHeight="1">
      <c r="B39" s="21">
        <v>3.0</v>
      </c>
      <c r="C39" s="39" t="str">
        <f t="array" ref="C39">IFERROR(INDEX('Base Jogadores'!$A$2:$A$31,MATCH($B$7&amp;"|"&amp;3,'Base Jogadores'!$O$2:$O$31,0)),"")</f>
        <v>THALISSON VIEIRA</v>
      </c>
      <c r="D39" s="39" t="str">
        <f t="array" ref="D39">IFERROR(INDEX('Base Jogadores'!$B$2:$B$31,MATCH($B$7&amp;"|"&amp;3,'Base Jogadores'!$O$2:$O$31,0)),"")</f>
        <v>THALAO # FIRST</v>
      </c>
      <c r="E39" s="21" t="str">
        <f t="array" ref="E39">IFERROR(INDEX('Base Jogadores'!$C$2:$C$31,MATCH($B$7&amp;"|"&amp;3,'Base Jogadores'!$O$2:$O$31,0)),"")</f>
        <v>Bronze</v>
      </c>
      <c r="F39" s="21">
        <f t="array" ref="F39">IFERROR(INDEX('Base Jogadores'!$D$2:$D$31,MATCH($B$7&amp;"|"&amp;3,'Base Jogadores'!$O$2:$O$31,0)),"")</f>
        <v>2</v>
      </c>
      <c r="G39" s="21" t="str">
        <f t="array" ref="G39">IFERROR(INDEX('Base Jogadores'!$E$2:$E$31,MATCH($B$7&amp;"|"&amp;3,'Base Jogadores'!$O$2:$O$31,0)),"")</f>
        <v>Suport</v>
      </c>
    </row>
    <row r="40" ht="15.75" customHeight="1">
      <c r="B40" s="21">
        <v>4.0</v>
      </c>
      <c r="C40" s="39" t="str">
        <f t="array" ref="C40">IFERROR(INDEX('Base Jogadores'!$A$2:$A$31,MATCH($B$7&amp;"|"&amp;4,'Base Jogadores'!$O$2:$O$31,0)),"")</f>
        <v>Pedro Lucas PL</v>
      </c>
      <c r="D40" s="39" t="str">
        <f t="array" ref="D40">IFERROR(INDEX('Base Jogadores'!$B$2:$B$31,MATCH($B$7&amp;"|"&amp;4,'Base Jogadores'!$O$2:$O$31,0)),"")</f>
        <v>Peideicaldinho#pei</v>
      </c>
      <c r="E40" s="21" t="str">
        <f t="array" ref="E40">IFERROR(INDEX('Base Jogadores'!$C$2:$C$31,MATCH($B$7&amp;"|"&amp;4,'Base Jogadores'!$O$2:$O$31,0)),"")</f>
        <v>Esmeralda</v>
      </c>
      <c r="F40" s="21">
        <f t="array" ref="F40">IFERROR(INDEX('Base Jogadores'!$D$2:$D$31,MATCH($B$7&amp;"|"&amp;4,'Base Jogadores'!$O$2:$O$31,0)),"")</f>
        <v>6</v>
      </c>
      <c r="G40" s="21" t="str">
        <f t="array" ref="G40">IFERROR(INDEX('Base Jogadores'!$E$2:$E$31,MATCH($B$7&amp;"|"&amp;4,'Base Jogadores'!$O$2:$O$31,0)),"")</f>
        <v>Toplane</v>
      </c>
    </row>
    <row r="41" ht="15.75" customHeight="1">
      <c r="B41" s="21">
        <v>5.0</v>
      </c>
      <c r="C41" s="39" t="str">
        <f t="array" ref="C41">IFERROR(INDEX('Base Jogadores'!$A$2:$A$31,MATCH($B$7&amp;"|"&amp;5,'Base Jogadores'!$O$2:$O$31,0)),"")</f>
        <v>Nicollas Castro</v>
      </c>
      <c r="D41" s="39" t="str">
        <f t="array" ref="D41">IFERROR(INDEX('Base Jogadores'!$B$2:$B$31,MATCH($B$7&amp;"|"&amp;5,'Base Jogadores'!$O$2:$O$31,0)),"")</f>
        <v>ctz #444</v>
      </c>
      <c r="E41" s="21" t="str">
        <f t="array" ref="E41">IFERROR(INDEX('Base Jogadores'!$C$2:$C$31,MATCH($B$7&amp;"|"&amp;5,'Base Jogadores'!$O$2:$O$31,0)),"")</f>
        <v>Diamante</v>
      </c>
      <c r="F41" s="21">
        <f t="array" ref="F41">IFERROR(INDEX('Base Jogadores'!$D$2:$D$31,MATCH($B$7&amp;"|"&amp;5,'Base Jogadores'!$O$2:$O$31,0)),"")</f>
        <v>8</v>
      </c>
      <c r="G41" s="21" t="str">
        <f t="array" ref="G41">IFERROR(INDEX('Base Jogadores'!$E$2:$E$31,MATCH($B$7&amp;"|"&amp;5,'Base Jogadores'!$O$2:$O$31,0)),"")</f>
        <v>Adcarry</v>
      </c>
    </row>
    <row r="42" ht="15.75" customHeight="1"/>
    <row r="43" ht="15.75" customHeight="1">
      <c r="B43" s="38" t="str">
        <f>$B$8&amp;" — Capitão: "&amp;IF($C$8="","(HEIMER)",$C$8)</f>
        <v>Time 3 — Capitão: (HEIMER)</v>
      </c>
    </row>
    <row r="44" ht="15.75" customHeight="1">
      <c r="B44" s="20" t="s">
        <v>41</v>
      </c>
      <c r="C44" s="20" t="s">
        <v>42</v>
      </c>
      <c r="D44" s="20" t="s">
        <v>43</v>
      </c>
      <c r="E44" s="20" t="s">
        <v>17</v>
      </c>
      <c r="F44" s="20" t="s">
        <v>44</v>
      </c>
      <c r="G44" s="20" t="s">
        <v>29</v>
      </c>
    </row>
    <row r="45" ht="15.75" customHeight="1">
      <c r="B45" s="21">
        <v>1.0</v>
      </c>
      <c r="C45" s="39" t="str">
        <f t="array" ref="C45">IFERROR(INDEX('Base Jogadores'!$A$2:$A$31,MATCH($B$8&amp;"|"&amp;1,'Base Jogadores'!$O$2:$O$31,0)),"")</f>
        <v>Hygor rodrigo</v>
      </c>
      <c r="D45" s="39" t="str">
        <f t="array" ref="D45">IFERROR(INDEX('Base Jogadores'!$B$2:$B$31,MATCH($B$8&amp;"|"&amp;1,'Base Jogadores'!$O$2:$O$31,0)),"")</f>
        <v>Hikolin#2112</v>
      </c>
      <c r="E45" s="21" t="str">
        <f t="array" ref="E45">IFERROR(INDEX('Base Jogadores'!$C$2:$C$31,MATCH($B$8&amp;"|"&amp;1,'Base Jogadores'!$O$2:$O$31,0)),"")</f>
        <v>Esmeralda</v>
      </c>
      <c r="F45" s="21">
        <f t="array" ref="F45">IFERROR(INDEX('Base Jogadores'!$D$2:$D$31,MATCH($B$8&amp;"|"&amp;1,'Base Jogadores'!$O$2:$O$31,0)),"")</f>
        <v>6</v>
      </c>
      <c r="G45" s="21" t="str">
        <f t="array" ref="G45">IFERROR(INDEX('Base Jogadores'!$E$2:$E$31,MATCH($B$8&amp;"|"&amp;1,'Base Jogadores'!$O$2:$O$31,0)),"")</f>
        <v>Adcarry</v>
      </c>
    </row>
    <row r="46" ht="15.75" customHeight="1">
      <c r="B46" s="21">
        <v>2.0</v>
      </c>
      <c r="C46" s="39" t="str">
        <f t="array" ref="C46">IFERROR(INDEX('Base Jogadores'!$A$2:$A$31,MATCH($B$8&amp;"|"&amp;2,'Base Jogadores'!$O$2:$O$31,0)),"")</f>
        <v>Jeferson/ Heimer</v>
      </c>
      <c r="D46" s="39" t="str">
        <f t="array" ref="D46">IFERROR(INDEX('Base Jogadores'!$B$2:$B$31,MATCH($B$8&amp;"|"&amp;2,'Base Jogadores'!$O$2:$O$31,0)),"")</f>
        <v>N4firida  agiota #7937</v>
      </c>
      <c r="E46" s="21" t="str">
        <f t="array" ref="E46">IFERROR(INDEX('Base Jogadores'!$C$2:$C$31,MATCH($B$8&amp;"|"&amp;2,'Base Jogadores'!$O$2:$O$31,0)),"")</f>
        <v>Ouro</v>
      </c>
      <c r="F46" s="21">
        <f t="array" ref="F46">IFERROR(INDEX('Base Jogadores'!$D$2:$D$31,MATCH($B$8&amp;"|"&amp;2,'Base Jogadores'!$O$2:$O$31,0)),"")</f>
        <v>4</v>
      </c>
      <c r="G46" s="21" t="str">
        <f t="array" ref="G46">IFERROR(INDEX('Base Jogadores'!$E$2:$E$31,MATCH($B$8&amp;"|"&amp;2,'Base Jogadores'!$O$2:$O$31,0)),"")</f>
        <v>Midlane</v>
      </c>
    </row>
    <row r="47" ht="15.75" customHeight="1">
      <c r="B47" s="21">
        <v>3.0</v>
      </c>
      <c r="C47" s="39" t="str">
        <f t="array" ref="C47">IFERROR(INDEX('Base Jogadores'!$A$2:$A$31,MATCH($B$8&amp;"|"&amp;3,'Base Jogadores'!$O$2:$O$31,0)),"")</f>
        <v>Artur Rodrigues</v>
      </c>
      <c r="D47" s="39" t="str">
        <f t="array" ref="D47">IFERROR(INDEX('Base Jogadores'!$B$2:$B$31,MATCH($B$8&amp;"|"&amp;3,'Base Jogadores'!$O$2:$O$31,0)),"")</f>
        <v>Sr Hades#2522</v>
      </c>
      <c r="E47" s="21" t="str">
        <f t="array" ref="E47">IFERROR(INDEX('Base Jogadores'!$C$2:$C$31,MATCH($B$8&amp;"|"&amp;3,'Base Jogadores'!$O$2:$O$31,0)),"")</f>
        <v>Ouro</v>
      </c>
      <c r="F47" s="21">
        <f t="array" ref="F47">IFERROR(INDEX('Base Jogadores'!$D$2:$D$31,MATCH($B$8&amp;"|"&amp;3,'Base Jogadores'!$O$2:$O$31,0)),"")</f>
        <v>4</v>
      </c>
      <c r="G47" s="21" t="str">
        <f t="array" ref="G47">IFERROR(INDEX('Base Jogadores'!$E$2:$E$31,MATCH($B$8&amp;"|"&amp;3,'Base Jogadores'!$O$2:$O$31,0)),"")</f>
        <v>Adcarry</v>
      </c>
    </row>
    <row r="48" ht="15.75" customHeight="1">
      <c r="B48" s="21">
        <v>4.0</v>
      </c>
      <c r="C48" s="39" t="str">
        <f t="array" ref="C48">IFERROR(INDEX('Base Jogadores'!$A$2:$A$31,MATCH($B$8&amp;"|"&amp;4,'Base Jogadores'!$O$2:$O$31,0)),"")</f>
        <v>Lucas</v>
      </c>
      <c r="D48" s="39" t="str">
        <f t="array" ref="D48">IFERROR(INDEX('Base Jogadores'!$B$2:$B$31,MATCH($B$8&amp;"|"&amp;4,'Base Jogadores'!$O$2:$O$31,0)),"")</f>
        <v>Onigami</v>
      </c>
      <c r="E48" s="21" t="str">
        <f t="array" ref="E48">IFERROR(INDEX('Base Jogadores'!$C$2:$C$31,MATCH($B$8&amp;"|"&amp;4,'Base Jogadores'!$O$2:$O$31,0)),"")</f>
        <v>Platina</v>
      </c>
      <c r="F48" s="21">
        <f t="array" ref="F48">IFERROR(INDEX('Base Jogadores'!$D$2:$D$31,MATCH($B$8&amp;"|"&amp;4,'Base Jogadores'!$O$2:$O$31,0)),"")</f>
        <v>5</v>
      </c>
      <c r="G48" s="21" t="str">
        <f t="array" ref="G48">IFERROR(INDEX('Base Jogadores'!$E$2:$E$31,MATCH($B$8&amp;"|"&amp;4,'Base Jogadores'!$O$2:$O$31,0)),"")</f>
        <v>Adcarry</v>
      </c>
    </row>
    <row r="49" ht="15.75" customHeight="1">
      <c r="B49" s="21">
        <v>5.0</v>
      </c>
      <c r="C49" s="39" t="str">
        <f t="array" ref="C49">IFERROR(INDEX('Base Jogadores'!$A$2:$A$31,MATCH($B$8&amp;"|"&amp;5,'Base Jogadores'!$O$2:$O$31,0)),"")</f>
        <v>Joao Pedo Barauna Vilela</v>
      </c>
      <c r="D49" s="39" t="str">
        <f t="array" ref="D49">IFERROR(INDEX('Base Jogadores'!$B$2:$B$31,MATCH($B$8&amp;"|"&amp;5,'Base Jogadores'!$O$2:$O$31,0)),"")</f>
        <v>Famoso Parrudao #6969</v>
      </c>
      <c r="E49" s="21" t="str">
        <f t="array" ref="E49">IFERROR(INDEX('Base Jogadores'!$C$2:$C$31,MATCH($B$8&amp;"|"&amp;5,'Base Jogadores'!$O$2:$O$31,0)),"")</f>
        <v>Esmeralda</v>
      </c>
      <c r="F49" s="21">
        <f t="array" ref="F49">IFERROR(INDEX('Base Jogadores'!$D$2:$D$31,MATCH($B$8&amp;"|"&amp;5,'Base Jogadores'!$O$2:$O$31,0)),"")</f>
        <v>6</v>
      </c>
      <c r="G49" s="21" t="str">
        <f t="array" ref="G49">IFERROR(INDEX('Base Jogadores'!$E$2:$E$31,MATCH($B$8&amp;"|"&amp;5,'Base Jogadores'!$O$2:$O$31,0)),"")</f>
        <v>Jungler</v>
      </c>
    </row>
    <row r="50" ht="15.75" customHeight="1"/>
    <row r="51" ht="15.75" customHeight="1">
      <c r="B51" s="38" t="str">
        <f>$B$9&amp;" — Capitão: "&amp;IF($C$9="","(SABOR ENERGÉTICO)",$C$9)</f>
        <v>Time 4 — Capitão: (SABOR ENERGÉTICO)</v>
      </c>
    </row>
    <row r="52" ht="15.75" customHeight="1">
      <c r="B52" s="20" t="s">
        <v>41</v>
      </c>
      <c r="C52" s="20" t="s">
        <v>42</v>
      </c>
      <c r="D52" s="20" t="s">
        <v>43</v>
      </c>
      <c r="E52" s="20" t="s">
        <v>17</v>
      </c>
      <c r="F52" s="20" t="s">
        <v>44</v>
      </c>
      <c r="G52" s="20" t="s">
        <v>29</v>
      </c>
    </row>
    <row r="53" ht="15.75" customHeight="1">
      <c r="B53" s="21">
        <v>1.0</v>
      </c>
      <c r="C53" s="39" t="str">
        <f t="array" ref="C53">IFERROR(INDEX('Base Jogadores'!$A$2:$A$31,MATCH($B$9&amp;"|"&amp;1,'Base Jogadores'!$O$2:$O$31,0)),"")</f>
        <v>Junior</v>
      </c>
      <c r="D53" s="39" t="str">
        <f t="array" ref="D53">IFERROR(INDEX('Base Jogadores'!$B$2:$B$31,MATCH($B$9&amp;"|"&amp;1,'Base Jogadores'!$O$2:$O$31,0)),"")</f>
        <v>Sabor Energético #1777</v>
      </c>
      <c r="E53" s="21" t="str">
        <f t="array" ref="E53">IFERROR(INDEX('Base Jogadores'!$C$2:$C$31,MATCH($B$9&amp;"|"&amp;1,'Base Jogadores'!$O$2:$O$31,0)),"")</f>
        <v>Prata</v>
      </c>
      <c r="F53" s="21">
        <f t="array" ref="F53">IFERROR(INDEX('Base Jogadores'!$D$2:$D$31,MATCH($B$9&amp;"|"&amp;1,'Base Jogadores'!$O$2:$O$31,0)),"")</f>
        <v>3</v>
      </c>
      <c r="G53" s="21" t="str">
        <f t="array" ref="G53">IFERROR(INDEX('Base Jogadores'!$E$2:$E$31,MATCH($B$9&amp;"|"&amp;1,'Base Jogadores'!$O$2:$O$31,0)),"")</f>
        <v>Midlane</v>
      </c>
    </row>
    <row r="54" ht="15.75" customHeight="1">
      <c r="B54" s="21">
        <v>2.0</v>
      </c>
      <c r="C54" s="39" t="str">
        <f t="array" ref="C54">IFERROR(INDEX('Base Jogadores'!$A$2:$A$31,MATCH($B$9&amp;"|"&amp;2,'Base Jogadores'!$O$2:$O$31,0)),"")</f>
        <v>Wafiter</v>
      </c>
      <c r="D54" s="39" t="str">
        <f t="array" ref="D54">IFERROR(INDEX('Base Jogadores'!$B$2:$B$31,MATCH($B$9&amp;"|"&amp;2,'Base Jogadores'!$O$2:$O$31,0)),"")</f>
        <v>Top Lane 666 #BR1</v>
      </c>
      <c r="E54" s="21" t="str">
        <f t="array" ref="E54">IFERROR(INDEX('Base Jogadores'!$C$2:$C$31,MATCH($B$9&amp;"|"&amp;2,'Base Jogadores'!$O$2:$O$31,0)),"")</f>
        <v>Platina</v>
      </c>
      <c r="F54" s="21">
        <f t="array" ref="F54">IFERROR(INDEX('Base Jogadores'!$D$2:$D$31,MATCH($B$9&amp;"|"&amp;2,'Base Jogadores'!$O$2:$O$31,0)),"")</f>
        <v>5</v>
      </c>
      <c r="G54" s="21" t="str">
        <f t="array" ref="G54">IFERROR(INDEX('Base Jogadores'!$E$2:$E$31,MATCH($B$9&amp;"|"&amp;2,'Base Jogadores'!$O$2:$O$31,0)),"")</f>
        <v>Toplane</v>
      </c>
    </row>
    <row r="55" ht="15.75" customHeight="1">
      <c r="B55" s="21">
        <v>3.0</v>
      </c>
      <c r="C55" s="39" t="str">
        <f t="array" ref="C55">IFERROR(INDEX('Base Jogadores'!$A$2:$A$31,MATCH($B$9&amp;"|"&amp;3,'Base Jogadores'!$O$2:$O$31,0)),"")</f>
        <v>Silverio Junior</v>
      </c>
      <c r="D55" s="39" t="str">
        <f t="array" ref="D55">IFERROR(INDEX('Base Jogadores'!$B$2:$B$31,MATCH($B$9&amp;"|"&amp;3,'Base Jogadores'!$O$2:$O$31,0)),"")</f>
        <v>Malasartes</v>
      </c>
      <c r="E55" s="21" t="str">
        <f t="array" ref="E55">IFERROR(INDEX('Base Jogadores'!$C$2:$C$31,MATCH($B$9&amp;"|"&amp;3,'Base Jogadores'!$O$2:$O$31,0)),"")</f>
        <v>Bronze</v>
      </c>
      <c r="F55" s="21">
        <f t="array" ref="F55">IFERROR(INDEX('Base Jogadores'!$D$2:$D$31,MATCH($B$9&amp;"|"&amp;3,'Base Jogadores'!$O$2:$O$31,0)),"")</f>
        <v>2</v>
      </c>
      <c r="G55" s="21" t="str">
        <f t="array" ref="G55">IFERROR(INDEX('Base Jogadores'!$E$2:$E$31,MATCH($B$9&amp;"|"&amp;3,'Base Jogadores'!$O$2:$O$31,0)),"")</f>
        <v>Jungler</v>
      </c>
    </row>
    <row r="56" ht="15.75" customHeight="1">
      <c r="B56" s="21">
        <v>4.0</v>
      </c>
      <c r="C56" s="39" t="str">
        <f t="array" ref="C56">IFERROR(INDEX('Base Jogadores'!$A$2:$A$31,MATCH($B$9&amp;"|"&amp;4,'Base Jogadores'!$O$2:$O$31,0)),"")</f>
        <v>Carlos Daniel</v>
      </c>
      <c r="D56" s="39" t="str">
        <f t="array" ref="D56">IFERROR(INDEX('Base Jogadores'!$B$2:$B$31,MATCH($B$9&amp;"|"&amp;4,'Base Jogadores'!$O$2:$O$31,0)),"")</f>
        <v>SOU ADC NÃO DEUS#BR1</v>
      </c>
      <c r="E56" s="21" t="str">
        <f t="array" ref="E56">IFERROR(INDEX('Base Jogadores'!$C$2:$C$31,MATCH($B$9&amp;"|"&amp;4,'Base Jogadores'!$O$2:$O$31,0)),"")</f>
        <v>Esmeralda</v>
      </c>
      <c r="F56" s="21">
        <f t="array" ref="F56">IFERROR(INDEX('Base Jogadores'!$D$2:$D$31,MATCH($B$9&amp;"|"&amp;4,'Base Jogadores'!$O$2:$O$31,0)),"")</f>
        <v>6</v>
      </c>
      <c r="G56" s="21" t="str">
        <f t="array" ref="G56">IFERROR(INDEX('Base Jogadores'!$E$2:$E$31,MATCH($B$9&amp;"|"&amp;4,'Base Jogadores'!$O$2:$O$31,0)),"")</f>
        <v>Adcarry</v>
      </c>
    </row>
    <row r="57" ht="15.75" customHeight="1">
      <c r="B57" s="21">
        <v>5.0</v>
      </c>
      <c r="C57" s="39" t="str">
        <f t="array" ref="C57">IFERROR(INDEX('Base Jogadores'!$A$2:$A$31,MATCH($B$9&amp;"|"&amp;5,'Base Jogadores'!$O$2:$O$31,0)),"")</f>
        <v>Isabella Lima</v>
      </c>
      <c r="D57" s="39" t="str">
        <f t="array" ref="D57">IFERROR(INDEX('Base Jogadores'!$B$2:$B$31,MATCH($B$9&amp;"|"&amp;5,'Base Jogadores'!$O$2:$O$31,0)),"")</f>
        <v>Miva#Br1</v>
      </c>
      <c r="E57" s="21" t="str">
        <f t="array" ref="E57">IFERROR(INDEX('Base Jogadores'!$C$2:$C$31,MATCH($B$9&amp;"|"&amp;5,'Base Jogadores'!$O$2:$O$31,0)),"")</f>
        <v>Platina</v>
      </c>
      <c r="F57" s="21">
        <f t="array" ref="F57">IFERROR(INDEX('Base Jogadores'!$D$2:$D$31,MATCH($B$9&amp;"|"&amp;5,'Base Jogadores'!$O$2:$O$31,0)),"")</f>
        <v>5</v>
      </c>
      <c r="G57" s="21" t="str">
        <f t="array" ref="G57">IFERROR(INDEX('Base Jogadores'!$E$2:$E$31,MATCH($B$9&amp;"|"&amp;5,'Base Jogadores'!$O$2:$O$31,0)),"")</f>
        <v>Suport</v>
      </c>
    </row>
    <row r="58" ht="15.75" customHeight="1"/>
    <row r="59" ht="15.75" customHeight="1">
      <c r="B59" s="38" t="str">
        <f>$B$10&amp;" — Capitão: "&amp;IF($C$10="","(RAZERAL)",$C$10)</f>
        <v>Time 5 — Capitão: (RAZERAL)</v>
      </c>
    </row>
    <row r="60" ht="15.75" customHeight="1">
      <c r="B60" s="20" t="s">
        <v>41</v>
      </c>
      <c r="C60" s="20" t="s">
        <v>42</v>
      </c>
      <c r="D60" s="20" t="s">
        <v>43</v>
      </c>
      <c r="E60" s="20" t="s">
        <v>17</v>
      </c>
      <c r="F60" s="20" t="s">
        <v>44</v>
      </c>
      <c r="G60" s="20" t="s">
        <v>29</v>
      </c>
    </row>
    <row r="61" ht="15.75" customHeight="1">
      <c r="B61" s="21">
        <v>1.0</v>
      </c>
      <c r="C61" s="39" t="str">
        <f t="array" ref="C61">IFERROR(INDEX('Base Jogadores'!$A$2:$A$31,MATCH($B$10&amp;"|"&amp;1,'Base Jogadores'!$O$2:$O$31,0)),"")</f>
        <v>Lucas Oliveira</v>
      </c>
      <c r="D61" s="39" t="str">
        <f t="array" ref="D61">IFERROR(INDEX('Base Jogadores'!$B$2:$B$31,MATCH($B$10&amp;"|"&amp;1,'Base Jogadores'!$O$2:$O$31,0)),"")</f>
        <v>яαzεгαł        ッ #yse</v>
      </c>
      <c r="E61" s="21" t="str">
        <f t="array" ref="E61">IFERROR(INDEX('Base Jogadores'!$C$2:$C$31,MATCH($B$10&amp;"|"&amp;1,'Base Jogadores'!$O$2:$O$31,0)),"")</f>
        <v>Diamante</v>
      </c>
      <c r="F61" s="21">
        <f t="array" ref="F61">IFERROR(INDEX('Base Jogadores'!$D$2:$D$31,MATCH($B$10&amp;"|"&amp;1,'Base Jogadores'!$O$2:$O$31,0)),"")</f>
        <v>8</v>
      </c>
      <c r="G61" s="21" t="str">
        <f t="array" ref="G61">IFERROR(INDEX('Base Jogadores'!$E$2:$E$31,MATCH($B$10&amp;"|"&amp;1,'Base Jogadores'!$O$2:$O$31,0)),"")</f>
        <v>Midlane</v>
      </c>
    </row>
    <row r="62" ht="15.75" customHeight="1">
      <c r="B62" s="21">
        <v>2.0</v>
      </c>
      <c r="C62" s="39" t="str">
        <f t="array" ref="C62">IFERROR(INDEX('Base Jogadores'!$A$2:$A$31,MATCH($B$10&amp;"|"&amp;2,'Base Jogadores'!$O$2:$O$31,0)),"")</f>
        <v>Relbert Mateus</v>
      </c>
      <c r="D62" s="39" t="str">
        <f t="array" ref="D62">IFERROR(INDEX('Base Jogadores'!$B$2:$B$31,MATCH($B$10&amp;"|"&amp;2,'Base Jogadores'!$O$2:$O$31,0)),"")</f>
        <v>MIDAS#Ayla</v>
      </c>
      <c r="E62" s="21" t="str">
        <f t="array" ref="E62">IFERROR(INDEX('Base Jogadores'!$C$2:$C$31,MATCH($B$10&amp;"|"&amp;2,'Base Jogadores'!$O$2:$O$31,0)),"")</f>
        <v>Esmeralda</v>
      </c>
      <c r="F62" s="21">
        <f t="array" ref="F62">IFERROR(INDEX('Base Jogadores'!$D$2:$D$31,MATCH($B$10&amp;"|"&amp;2,'Base Jogadores'!$O$2:$O$31,0)),"")</f>
        <v>6</v>
      </c>
      <c r="G62" s="21" t="str">
        <f t="array" ref="G62">IFERROR(INDEX('Base Jogadores'!$E$2:$E$31,MATCH($B$10&amp;"|"&amp;2,'Base Jogadores'!$O$2:$O$31,0)),"")</f>
        <v>Suport</v>
      </c>
    </row>
    <row r="63" ht="15.75" customHeight="1">
      <c r="B63" s="21">
        <v>3.0</v>
      </c>
      <c r="C63" s="39" t="str">
        <f t="array" ref="C63">IFERROR(INDEX('Base Jogadores'!$A$2:$A$31,MATCH($B$10&amp;"|"&amp;3,'Base Jogadores'!$O$2:$O$31,0)),"")</f>
        <v>Marcus Silva</v>
      </c>
      <c r="D63" s="39" t="str">
        <f t="array" ref="D63">IFERROR(INDEX('Base Jogadores'!$B$2:$B$31,MATCH($B$10&amp;"|"&amp;3,'Base Jogadores'!$O$2:$O$31,0)),"")</f>
        <v>motomoto#thuc</v>
      </c>
      <c r="E63" s="21" t="str">
        <f t="array" ref="E63">IFERROR(INDEX('Base Jogadores'!$C$2:$C$31,MATCH($B$10&amp;"|"&amp;3,'Base Jogadores'!$O$2:$O$31,0)),"")</f>
        <v>Bronze</v>
      </c>
      <c r="F63" s="21">
        <f t="array" ref="F63">IFERROR(INDEX('Base Jogadores'!$D$2:$D$31,MATCH($B$10&amp;"|"&amp;3,'Base Jogadores'!$O$2:$O$31,0)),"")</f>
        <v>2</v>
      </c>
      <c r="G63" s="21" t="str">
        <f t="array" ref="G63">IFERROR(INDEX('Base Jogadores'!$E$2:$E$31,MATCH($B$10&amp;"|"&amp;3,'Base Jogadores'!$O$2:$O$31,0)),"")</f>
        <v>Suport</v>
      </c>
    </row>
    <row r="64" ht="15.75" customHeight="1">
      <c r="B64" s="21">
        <v>4.0</v>
      </c>
      <c r="C64" s="39" t="str">
        <f t="array" ref="C64">IFERROR(INDEX('Base Jogadores'!$A$2:$A$31,MATCH($B$10&amp;"|"&amp;4,'Base Jogadores'!$O$2:$O$31,0)),"")</f>
        <v>Ives</v>
      </c>
      <c r="D64" s="39" t="str">
        <f t="array" ref="D64">IFERROR(INDEX('Base Jogadores'!$B$2:$B$31,MATCH($B$10&amp;"|"&amp;4,'Base Jogadores'!$O$2:$O$31,0)),"")</f>
        <v>SAMUEL VENÂNCIO#MC97</v>
      </c>
      <c r="E64" s="21" t="str">
        <f t="array" ref="E64">IFERROR(INDEX('Base Jogadores'!$C$2:$C$31,MATCH($B$10&amp;"|"&amp;4,'Base Jogadores'!$O$2:$O$31,0)),"")</f>
        <v>Ouro</v>
      </c>
      <c r="F64" s="21">
        <f t="array" ref="F64">IFERROR(INDEX('Base Jogadores'!$D$2:$D$31,MATCH($B$10&amp;"|"&amp;4,'Base Jogadores'!$O$2:$O$31,0)),"")</f>
        <v>4</v>
      </c>
      <c r="G64" s="21" t="str">
        <f t="array" ref="G64">IFERROR(INDEX('Base Jogadores'!$E$2:$E$31,MATCH($B$10&amp;"|"&amp;4,'Base Jogadores'!$O$2:$O$31,0)),"")</f>
        <v>Adcarry</v>
      </c>
    </row>
    <row r="65" ht="15.75" customHeight="1">
      <c r="B65" s="21">
        <v>5.0</v>
      </c>
      <c r="C65" s="39" t="str">
        <f t="array" ref="C65">IFERROR(INDEX('Base Jogadores'!$A$2:$A$31,MATCH($B$10&amp;"|"&amp;5,'Base Jogadores'!$O$2:$O$31,0)),"")</f>
        <v>Eduuh Legna</v>
      </c>
      <c r="D65" s="39" t="str">
        <f t="array" ref="D65">IFERROR(INDEX('Base Jogadores'!$B$2:$B$31,MATCH($B$10&amp;"|"&amp;5,'Base Jogadores'!$O$2:$O$31,0)),"")</f>
        <v>INNELLEA #GOAT</v>
      </c>
      <c r="E65" s="21" t="str">
        <f t="array" ref="E65">IFERROR(INDEX('Base Jogadores'!$C$2:$C$31,MATCH($B$10&amp;"|"&amp;5,'Base Jogadores'!$O$2:$O$31,0)),"")</f>
        <v>Esmeralda</v>
      </c>
      <c r="F65" s="21">
        <f t="array" ref="F65">IFERROR(INDEX('Base Jogadores'!$D$2:$D$31,MATCH($B$10&amp;"|"&amp;5,'Base Jogadores'!$O$2:$O$31,0)),"")</f>
        <v>6</v>
      </c>
      <c r="G65" s="21" t="str">
        <f t="array" ref="G65">IFERROR(INDEX('Base Jogadores'!$E$2:$E$31,MATCH($B$10&amp;"|"&amp;5,'Base Jogadores'!$O$2:$O$31,0)),"")</f>
        <v>Toplane</v>
      </c>
    </row>
    <row r="66" ht="15.75" customHeight="1"/>
    <row r="67" ht="15.75" customHeight="1">
      <c r="B67" s="38" t="str">
        <f>$B$11&amp;" — Capitão: "&amp;IF($C$11="","(ZOE BAHIANA)",$C$11)</f>
        <v>Time 6 — Capitão: (ZOE BAHIANA)</v>
      </c>
    </row>
    <row r="68" ht="15.75" customHeight="1">
      <c r="B68" s="20" t="s">
        <v>41</v>
      </c>
      <c r="C68" s="20" t="s">
        <v>42</v>
      </c>
      <c r="D68" s="20" t="s">
        <v>43</v>
      </c>
      <c r="E68" s="20" t="s">
        <v>17</v>
      </c>
      <c r="F68" s="20" t="s">
        <v>44</v>
      </c>
      <c r="G68" s="20" t="s">
        <v>29</v>
      </c>
    </row>
    <row r="69" ht="15.75" customHeight="1">
      <c r="B69" s="21">
        <v>1.0</v>
      </c>
      <c r="C69" s="39" t="str">
        <f t="array" ref="C69">IFERROR(INDEX('Base Jogadores'!$A$2:$A$31,MATCH($B$11&amp;"|"&amp;1,'Base Jogadores'!$O$2:$O$31,0)),"")</f>
        <v>Jonathan Pikart (GayLord)</v>
      </c>
      <c r="D69" s="39" t="str">
        <f t="array" ref="D69">IFERROR(INDEX('Base Jogadores'!$B$2:$B$31,MATCH($B$11&amp;"|"&amp;1,'Base Jogadores'!$O$2:$O$31,0)),"")</f>
        <v>PNG GALA #PNG</v>
      </c>
      <c r="E69" s="21" t="str">
        <f t="array" ref="E69">IFERROR(INDEX('Base Jogadores'!$C$2:$C$31,MATCH($B$11&amp;"|"&amp;1,'Base Jogadores'!$O$2:$O$31,0)),"")</f>
        <v>Platina</v>
      </c>
      <c r="F69" s="21">
        <f t="array" ref="F69">IFERROR(INDEX('Base Jogadores'!$D$2:$D$31,MATCH($B$11&amp;"|"&amp;1,'Base Jogadores'!$O$2:$O$31,0)),"")</f>
        <v>5</v>
      </c>
      <c r="G69" s="21" t="str">
        <f t="array" ref="G69">IFERROR(INDEX('Base Jogadores'!$E$2:$E$31,MATCH($B$11&amp;"|"&amp;1,'Base Jogadores'!$O$2:$O$31,0)),"")</f>
        <v>Adcarry</v>
      </c>
    </row>
    <row r="70" ht="15.75" customHeight="1">
      <c r="B70" s="21">
        <v>2.0</v>
      </c>
      <c r="C70" s="39" t="str">
        <f t="array" ref="C70">IFERROR(INDEX('Base Jogadores'!$A$2:$A$31,MATCH($B$11&amp;"|"&amp;2,'Base Jogadores'!$O$2:$O$31,0)),"")</f>
        <v>matheus vidotti</v>
      </c>
      <c r="D70" s="39" t="str">
        <f t="array" ref="D70">IFERROR(INDEX('Base Jogadores'!$B$2:$B$31,MATCH($B$11&amp;"|"&amp;2,'Base Jogadores'!$O$2:$O$31,0)),"")</f>
        <v>vidotti agiota #br1</v>
      </c>
      <c r="E70" s="21" t="str">
        <f t="array" ref="E70">IFERROR(INDEX('Base Jogadores'!$C$2:$C$31,MATCH($B$11&amp;"|"&amp;2,'Base Jogadores'!$O$2:$O$31,0)),"")</f>
        <v>Diamante</v>
      </c>
      <c r="F70" s="21">
        <f t="array" ref="F70">IFERROR(INDEX('Base Jogadores'!$D$2:$D$31,MATCH($B$11&amp;"|"&amp;2,'Base Jogadores'!$O$2:$O$31,0)),"")</f>
        <v>8</v>
      </c>
      <c r="G70" s="21" t="str">
        <f t="array" ref="G70">IFERROR(INDEX('Base Jogadores'!$E$2:$E$31,MATCH($B$11&amp;"|"&amp;2,'Base Jogadores'!$O$2:$O$31,0)),"")</f>
        <v>Toplane</v>
      </c>
    </row>
    <row r="71" ht="15.75" customHeight="1">
      <c r="B71" s="21">
        <v>3.0</v>
      </c>
      <c r="C71" s="39" t="str">
        <f t="array" ref="C71">IFERROR(INDEX('Base Jogadores'!$A$2:$A$31,MATCH($B$11&amp;"|"&amp;3,'Base Jogadores'!$O$2:$O$31,0)),"")</f>
        <v>Maxmp maicon</v>
      </c>
      <c r="D71" s="39" t="str">
        <f t="array" ref="D71">IFERROR(INDEX('Base Jogadores'!$B$2:$B$31,MATCH($B$11&amp;"|"&amp;3,'Base Jogadores'!$O$2:$O$31,0)),"")</f>
        <v>#Maxmp</v>
      </c>
      <c r="E71" s="21" t="str">
        <f t="array" ref="E71">IFERROR(INDEX('Base Jogadores'!$C$2:$C$31,MATCH($B$11&amp;"|"&amp;3,'Base Jogadores'!$O$2:$O$31,0)),"")</f>
        <v>Esmeralda</v>
      </c>
      <c r="F71" s="21">
        <f t="array" ref="F71">IFERROR(INDEX('Base Jogadores'!$D$2:$D$31,MATCH($B$11&amp;"|"&amp;3,'Base Jogadores'!$O$2:$O$31,0)),"")</f>
        <v>6</v>
      </c>
      <c r="G71" s="21" t="str">
        <f t="array" ref="G71">IFERROR(INDEX('Base Jogadores'!$E$2:$E$31,MATCH($B$11&amp;"|"&amp;3,'Base Jogadores'!$O$2:$O$31,0)),"")</f>
        <v>Suport</v>
      </c>
    </row>
    <row r="72" ht="15.75" customHeight="1">
      <c r="B72" s="21">
        <v>4.0</v>
      </c>
      <c r="C72" s="39" t="str">
        <f t="array" ref="C72">IFERROR(INDEX('Base Jogadores'!$A$2:$A$31,MATCH($B$11&amp;"|"&amp;4,'Base Jogadores'!$O$2:$O$31,0)),"")</f>
        <v>Wesley Rafael</v>
      </c>
      <c r="D72" s="39" t="str">
        <f t="array" ref="D72">IFERROR(INDEX('Base Jogadores'!$B$2:$B$31,MATCH($B$11&amp;"|"&amp;4,'Base Jogadores'!$O$2:$O$31,0)),"")</f>
        <v>wrgamer#153</v>
      </c>
      <c r="E72" s="21" t="str">
        <f t="array" ref="E72">IFERROR(INDEX('Base Jogadores'!$C$2:$C$31,MATCH($B$11&amp;"|"&amp;4,'Base Jogadores'!$O$2:$O$31,0)),"")</f>
        <v>Platina</v>
      </c>
      <c r="F72" s="21">
        <f t="array" ref="F72">IFERROR(INDEX('Base Jogadores'!$D$2:$D$31,MATCH($B$11&amp;"|"&amp;4,'Base Jogadores'!$O$2:$O$31,0)),"")</f>
        <v>5</v>
      </c>
      <c r="G72" s="21" t="str">
        <f t="array" ref="G72">IFERROR(INDEX('Base Jogadores'!$E$2:$E$31,MATCH($B$11&amp;"|"&amp;4,'Base Jogadores'!$O$2:$O$31,0)),"")</f>
        <v>Adcarry</v>
      </c>
    </row>
    <row r="73" ht="15.75" customHeight="1">
      <c r="B73" s="21">
        <v>5.0</v>
      </c>
      <c r="C73" s="39" t="str">
        <f t="array" ref="C73">IFERROR(INDEX('Base Jogadores'!$A$2:$A$31,MATCH($B$11&amp;"|"&amp;5,'Base Jogadores'!$O$2:$O$31,0)),"")</f>
        <v>Luix Silva</v>
      </c>
      <c r="D73" s="39" t="str">
        <f t="array" ref="D73">IFERROR(INDEX('Base Jogadores'!$B$2:$B$31,MATCH($B$11&amp;"|"&amp;5,'Base Jogadores'!$O$2:$O$31,0)),"")</f>
        <v>Z0E Baiana #br1</v>
      </c>
      <c r="E73" s="21" t="str">
        <f t="array" ref="E73">IFERROR(INDEX('Base Jogadores'!$C$2:$C$31,MATCH($B$11&amp;"|"&amp;5,'Base Jogadores'!$O$2:$O$31,0)),"")</f>
        <v>Platina</v>
      </c>
      <c r="F73" s="21">
        <f t="array" ref="F73">IFERROR(INDEX('Base Jogadores'!$D$2:$D$31,MATCH($B$11&amp;"|"&amp;5,'Base Jogadores'!$O$2:$O$31,0)),"")</f>
        <v>5</v>
      </c>
      <c r="G73" s="21" t="str">
        <f t="array" ref="G73">IFERROR(INDEX('Base Jogadores'!$E$2:$E$31,MATCH($B$11&amp;"|"&amp;5,'Base Jogadores'!$O$2:$O$31,0)),"")</f>
        <v>Midlane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I3"/>
    <mergeCell ref="B27:G27"/>
    <mergeCell ref="B35:G35"/>
    <mergeCell ref="B43:G43"/>
    <mergeCell ref="B51:G51"/>
    <mergeCell ref="B59:G59"/>
    <mergeCell ref="B67:G67"/>
  </mergeCells>
  <conditionalFormatting sqref="C16:H20">
    <cfRule type="cellIs" dxfId="0" priority="1" operator="equal">
      <formula>1</formula>
    </cfRule>
  </conditionalFormatting>
  <conditionalFormatting sqref="C16:H20">
    <cfRule type="cellIs" dxfId="1" priority="2" operator="equal">
      <formula>0</formula>
    </cfRule>
  </conditionalFormatting>
  <conditionalFormatting sqref="C16:H20">
    <cfRule type="cellIs" dxfId="2" priority="3" operator="greaterThan">
      <formula>1</formula>
    </cfRule>
  </conditionalFormatting>
  <conditionalFormatting sqref="F6:F11">
    <cfRule type="cellIs" dxfId="2" priority="4" operator="lessThan">
      <formula>0</formula>
    </cfRule>
  </conditionalFormatting>
  <conditionalFormatting sqref="H6:H11">
    <cfRule type="expression" dxfId="2" priority="5">
      <formula>LEFT(H6,1)="⚠"</formula>
    </cfRule>
  </conditionalFormatting>
  <conditionalFormatting sqref="H6:H11">
    <cfRule type="expression" dxfId="0" priority="6">
      <formula>LEFT(H6,1)="✅"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43"/>
    <col customWidth="1" min="2" max="2" width="30.43"/>
    <col customWidth="1" min="3" max="3" width="11.0"/>
    <col customWidth="1" min="4" max="4" width="8.0"/>
    <col customWidth="1" min="5" max="5" width="11.0"/>
    <col customWidth="1" min="6" max="6" width="24.0"/>
    <col customWidth="1" min="7" max="9" width="7.0"/>
    <col customWidth="1" min="10" max="11" width="8.0"/>
    <col customWidth="1" min="12" max="12" width="10.0"/>
    <col customWidth="1" min="13" max="13" width="26.57"/>
    <col customWidth="1" hidden="1" min="14" max="17" width="13.0"/>
    <col customWidth="1" min="18" max="26" width="8.71"/>
  </cols>
  <sheetData>
    <row r="1" ht="31.5" customHeight="1">
      <c r="A1" s="10" t="s">
        <v>42</v>
      </c>
      <c r="B1" s="10" t="s">
        <v>43</v>
      </c>
      <c r="C1" s="10" t="s">
        <v>17</v>
      </c>
      <c r="D1" s="10" t="s">
        <v>66</v>
      </c>
      <c r="E1" s="10" t="s">
        <v>67</v>
      </c>
      <c r="F1" s="10" t="s">
        <v>68</v>
      </c>
      <c r="G1" s="10" t="s">
        <v>32</v>
      </c>
      <c r="H1" s="10" t="s">
        <v>33</v>
      </c>
      <c r="I1" s="10" t="s">
        <v>34</v>
      </c>
      <c r="J1" s="10" t="s">
        <v>35</v>
      </c>
      <c r="K1" s="10" t="s">
        <v>36</v>
      </c>
      <c r="L1" s="10" t="s">
        <v>69</v>
      </c>
      <c r="M1" s="10" t="s">
        <v>48</v>
      </c>
      <c r="N1" s="8" t="s">
        <v>70</v>
      </c>
      <c r="O1" s="8" t="s">
        <v>71</v>
      </c>
      <c r="P1" s="8" t="s">
        <v>72</v>
      </c>
      <c r="Q1" s="8" t="s">
        <v>73</v>
      </c>
    </row>
    <row r="2">
      <c r="A2" s="40" t="s">
        <v>74</v>
      </c>
      <c r="B2" s="40" t="inlineStr">
        <is>
          <t>mxxDragonxxm #br1</t>
        </is>
      </c>
      <c r="C2" s="41" t="s">
        <v>25</v>
      </c>
      <c r="D2" s="27">
        <f t="array" ref="D2">INDEX('Valores por Elo'!$C$6:$C$15,MATCH($C2,'Valores por Elo'!$B$6:$B$15,0))</f>
        <v>8</v>
      </c>
      <c r="E2" s="12" t="s">
        <v>76</v>
      </c>
      <c r="F2" s="40" t="s">
        <v>76</v>
      </c>
      <c r="G2" s="12">
        <f t="shared" ref="G2:G31" si="1">IF(ISNUMBER(SEARCH("Toplane",$F2)),1,0)</f>
        <v>0</v>
      </c>
      <c r="H2" s="12">
        <f t="shared" ref="H2:H31" si="2">IF(ISNUMBER(SEARCH("Jungler",$F2)),1,0)</f>
        <v>1</v>
      </c>
      <c r="I2" s="12">
        <f t="shared" ref="I2:I31" si="3">IF(ISNUMBER(SEARCH("Midlane",$F2)),1,0)</f>
        <v>0</v>
      </c>
      <c r="J2" s="12">
        <f t="shared" ref="J2:J31" si="4">IF(ISNUMBER(SEARCH("Adcarry",$F2)),1,0)</f>
        <v>0</v>
      </c>
      <c r="K2" s="12">
        <f t="shared" ref="K2:K31" si="5">IF(ISNUMBER(SEARCH("Suport",$F2)),1,0)</f>
        <v>0</v>
      </c>
      <c r="L2" s="12" t="s">
        <v>77</v>
      </c>
      <c r="M2" s="31" t="s">
        <v>50</v>
      </c>
      <c r="N2" s="8">
        <f t="shared" ref="N2:N31" si="6">IF($M2="","",COUNTIF($M$2:$M2,$M2))</f>
        <v>1</v>
      </c>
      <c r="O2" s="8" t="str">
        <f t="shared" ref="O2:O31" si="7">IF($M2="","",$M2&amp;"|"&amp;$N2)</f>
        <v>Time 2|1</v>
      </c>
      <c r="P2" s="8">
        <f t="shared" ref="P2:P31" si="8">IF($E2="Midlane",1,0)</f>
        <v>0</v>
      </c>
      <c r="Q2" s="8" t="str">
        <f t="shared" ref="Q2:Q31" si="9">IF($P2=1,COUNTIF($P$2:$P2,1),"")</f>
        <v/>
      </c>
    </row>
    <row r="3">
      <c r="A3" s="40" t="s">
        <v>78</v>
      </c>
      <c r="B3" s="40" t="s">
        <v>79</v>
      </c>
      <c r="C3" s="42" t="s">
        <v>24</v>
      </c>
      <c r="D3" s="27">
        <f t="array" ref="D3">INDEX('Valores por Elo'!$C$6:$C$15,MATCH($C3,'Valores por Elo'!$B$6:$B$15,0))</f>
        <v>6</v>
      </c>
      <c r="E3" s="12" t="s">
        <v>80</v>
      </c>
      <c r="F3" s="40" t="s">
        <v>80</v>
      </c>
      <c r="G3" s="12">
        <f t="shared" si="1"/>
        <v>0</v>
      </c>
      <c r="H3" s="12">
        <f t="shared" si="2"/>
        <v>0</v>
      </c>
      <c r="I3" s="12">
        <f t="shared" si="3"/>
        <v>0</v>
      </c>
      <c r="J3" s="12">
        <f t="shared" si="4"/>
        <v>1</v>
      </c>
      <c r="K3" s="12">
        <f t="shared" si="5"/>
        <v>0</v>
      </c>
      <c r="L3" s="12" t="s">
        <v>77</v>
      </c>
      <c r="M3" s="31" t="s">
        <v>51</v>
      </c>
      <c r="N3" s="8">
        <f t="shared" si="6"/>
        <v>1</v>
      </c>
      <c r="O3" s="8" t="str">
        <f t="shared" si="7"/>
        <v>Time 3|1</v>
      </c>
      <c r="P3" s="8">
        <f t="shared" si="8"/>
        <v>0</v>
      </c>
      <c r="Q3" s="8" t="str">
        <f t="shared" si="9"/>
        <v/>
      </c>
    </row>
    <row r="4">
      <c r="A4" s="40" t="s">
        <v>81</v>
      </c>
      <c r="B4" s="40" t="s">
        <v>82</v>
      </c>
      <c r="C4" s="43" t="s">
        <v>23</v>
      </c>
      <c r="D4" s="27">
        <f t="array" ref="D4">INDEX('Valores por Elo'!$C$6:$C$15,MATCH($C4,'Valores por Elo'!$B$6:$B$15,0))</f>
        <v>5</v>
      </c>
      <c r="E4" s="12" t="s">
        <v>83</v>
      </c>
      <c r="F4" s="40" t="s">
        <v>83</v>
      </c>
      <c r="G4" s="12">
        <f t="shared" si="1"/>
        <v>0</v>
      </c>
      <c r="H4" s="12">
        <f t="shared" si="2"/>
        <v>0</v>
      </c>
      <c r="I4" s="12">
        <f t="shared" si="3"/>
        <v>1</v>
      </c>
      <c r="J4" s="12">
        <f t="shared" si="4"/>
        <v>0</v>
      </c>
      <c r="K4" s="12">
        <f t="shared" si="5"/>
        <v>0</v>
      </c>
      <c r="L4" s="12" t="s">
        <v>77</v>
      </c>
      <c r="M4" s="31" t="s">
        <v>50</v>
      </c>
      <c r="N4" s="8">
        <f t="shared" si="6"/>
        <v>2</v>
      </c>
      <c r="O4" s="8" t="str">
        <f t="shared" si="7"/>
        <v>Time 2|2</v>
      </c>
      <c r="P4" s="8">
        <f t="shared" si="8"/>
        <v>1</v>
      </c>
      <c r="Q4" s="8">
        <f t="shared" si="9"/>
        <v>1</v>
      </c>
    </row>
    <row r="5">
      <c r="A5" s="40" t="s">
        <v>84</v>
      </c>
      <c r="B5" s="40" t="s">
        <v>85</v>
      </c>
      <c r="C5" s="44" t="s">
        <v>20</v>
      </c>
      <c r="D5" s="27">
        <f t="array" ref="D5">INDEX('Valores por Elo'!$C$6:$C$15,MATCH($C5,'Valores por Elo'!$B$6:$B$15,0))</f>
        <v>2</v>
      </c>
      <c r="E5" s="12" t="s">
        <v>86</v>
      </c>
      <c r="F5" s="40" t="s">
        <v>86</v>
      </c>
      <c r="G5" s="12">
        <f t="shared" si="1"/>
        <v>0</v>
      </c>
      <c r="H5" s="12">
        <f t="shared" si="2"/>
        <v>0</v>
      </c>
      <c r="I5" s="12">
        <f t="shared" si="3"/>
        <v>0</v>
      </c>
      <c r="J5" s="12">
        <f t="shared" si="4"/>
        <v>0</v>
      </c>
      <c r="K5" s="12">
        <f t="shared" si="5"/>
        <v>1</v>
      </c>
      <c r="L5" s="12" t="s">
        <v>77</v>
      </c>
      <c r="M5" s="31" t="s">
        <v>50</v>
      </c>
      <c r="N5" s="8">
        <f t="shared" si="6"/>
        <v>3</v>
      </c>
      <c r="O5" s="8" t="str">
        <f t="shared" si="7"/>
        <v>Time 2|3</v>
      </c>
      <c r="P5" s="8">
        <f t="shared" si="8"/>
        <v>0</v>
      </c>
      <c r="Q5" s="8" t="str">
        <f t="shared" si="9"/>
        <v/>
      </c>
    </row>
    <row r="6">
      <c r="A6" s="40" t="s">
        <v>87</v>
      </c>
      <c r="B6" s="40" t="s">
        <v>88</v>
      </c>
      <c r="C6" s="41" t="s">
        <v>25</v>
      </c>
      <c r="D6" s="27">
        <f t="array" ref="D6">INDEX('Valores por Elo'!$C$6:$C$15,MATCH($C6,'Valores por Elo'!$B$6:$B$15,0))</f>
        <v>8</v>
      </c>
      <c r="E6" s="12" t="s">
        <v>83</v>
      </c>
      <c r="F6" s="40" t="s">
        <v>83</v>
      </c>
      <c r="G6" s="12">
        <f t="shared" si="1"/>
        <v>0</v>
      </c>
      <c r="H6" s="12">
        <f t="shared" si="2"/>
        <v>0</v>
      </c>
      <c r="I6" s="12">
        <f t="shared" si="3"/>
        <v>1</v>
      </c>
      <c r="J6" s="12">
        <f t="shared" si="4"/>
        <v>0</v>
      </c>
      <c r="K6" s="12">
        <f t="shared" si="5"/>
        <v>0</v>
      </c>
      <c r="L6" s="12" t="s">
        <v>77</v>
      </c>
      <c r="M6" s="31" t="s">
        <v>53</v>
      </c>
      <c r="N6" s="8">
        <f t="shared" si="6"/>
        <v>1</v>
      </c>
      <c r="O6" s="8" t="str">
        <f t="shared" si="7"/>
        <v>Time 5|1</v>
      </c>
      <c r="P6" s="8">
        <f t="shared" si="8"/>
        <v>1</v>
      </c>
      <c r="Q6" s="8">
        <f t="shared" si="9"/>
        <v>2</v>
      </c>
    </row>
    <row r="7">
      <c r="A7" s="40" t="s">
        <v>89</v>
      </c>
      <c r="B7" s="40" t="s">
        <v>90</v>
      </c>
      <c r="C7" s="45" t="s">
        <v>21</v>
      </c>
      <c r="D7" s="27">
        <f t="array" ref="D7">INDEX('Valores por Elo'!$C$6:$C$15,MATCH($C7,'Valores por Elo'!$B$6:$B$15,0))</f>
        <v>3</v>
      </c>
      <c r="E7" s="12" t="s">
        <v>83</v>
      </c>
      <c r="F7" s="40" t="s">
        <v>83</v>
      </c>
      <c r="G7" s="12">
        <f t="shared" si="1"/>
        <v>0</v>
      </c>
      <c r="H7" s="12">
        <f t="shared" si="2"/>
        <v>0</v>
      </c>
      <c r="I7" s="12">
        <f t="shared" si="3"/>
        <v>1</v>
      </c>
      <c r="J7" s="12">
        <f t="shared" si="4"/>
        <v>0</v>
      </c>
      <c r="K7" s="12">
        <f t="shared" si="5"/>
        <v>0</v>
      </c>
      <c r="L7" s="12" t="s">
        <v>91</v>
      </c>
      <c r="M7" s="31" t="s">
        <v>52</v>
      </c>
      <c r="N7" s="8">
        <f t="shared" si="6"/>
        <v>1</v>
      </c>
      <c r="O7" s="8" t="str">
        <f t="shared" si="7"/>
        <v>Time 4|1</v>
      </c>
      <c r="P7" s="8">
        <f t="shared" si="8"/>
        <v>1</v>
      </c>
      <c r="Q7" s="8">
        <f t="shared" si="9"/>
        <v>3</v>
      </c>
    </row>
    <row r="8">
      <c r="A8" s="40" t="s">
        <v>92</v>
      </c>
      <c r="B8" s="40" t="s">
        <v>93</v>
      </c>
      <c r="C8" s="43" t="s">
        <v>23</v>
      </c>
      <c r="D8" s="27">
        <f t="array" ref="D8">INDEX('Valores por Elo'!$C$6:$C$15,MATCH($C8,'Valores por Elo'!$B$6:$B$15,0))</f>
        <v>5</v>
      </c>
      <c r="E8" s="12" t="s">
        <v>94</v>
      </c>
      <c r="F8" s="40" t="s">
        <v>94</v>
      </c>
      <c r="G8" s="12">
        <f t="shared" si="1"/>
        <v>1</v>
      </c>
      <c r="H8" s="12">
        <f t="shared" si="2"/>
        <v>0</v>
      </c>
      <c r="I8" s="12">
        <f t="shared" si="3"/>
        <v>0</v>
      </c>
      <c r="J8" s="12">
        <f t="shared" si="4"/>
        <v>0</v>
      </c>
      <c r="K8" s="12">
        <f t="shared" si="5"/>
        <v>0</v>
      </c>
      <c r="L8" s="12" t="s">
        <v>77</v>
      </c>
      <c r="M8" s="31" t="s">
        <v>52</v>
      </c>
      <c r="N8" s="8">
        <f t="shared" si="6"/>
        <v>2</v>
      </c>
      <c r="O8" s="8" t="str">
        <f t="shared" si="7"/>
        <v>Time 4|2</v>
      </c>
      <c r="P8" s="8">
        <f t="shared" si="8"/>
        <v>0</v>
      </c>
      <c r="Q8" s="8" t="str">
        <f t="shared" si="9"/>
        <v/>
      </c>
    </row>
    <row r="9">
      <c r="A9" s="40" t="s">
        <v>95</v>
      </c>
      <c r="B9" s="40" t="inlineStr">
        <is>
          <t>Malasartes #7804</t>
        </is>
      </c>
      <c r="C9" s="44" t="s">
        <v>20</v>
      </c>
      <c r="D9" s="27">
        <f t="array" ref="D9">INDEX('Valores por Elo'!$C$6:$C$15,MATCH($C9,'Valores por Elo'!$B$6:$B$15,0))</f>
        <v>2</v>
      </c>
      <c r="E9" s="12" t="s">
        <v>76</v>
      </c>
      <c r="F9" s="40" t="s">
        <v>76</v>
      </c>
      <c r="G9" s="12">
        <f t="shared" si="1"/>
        <v>0</v>
      </c>
      <c r="H9" s="12">
        <f t="shared" si="2"/>
        <v>1</v>
      </c>
      <c r="I9" s="12">
        <f t="shared" si="3"/>
        <v>0</v>
      </c>
      <c r="J9" s="12">
        <f t="shared" si="4"/>
        <v>0</v>
      </c>
      <c r="K9" s="12">
        <f t="shared" si="5"/>
        <v>0</v>
      </c>
      <c r="L9" s="12" t="s">
        <v>77</v>
      </c>
      <c r="M9" s="31" t="s">
        <v>52</v>
      </c>
      <c r="N9" s="8">
        <f t="shared" si="6"/>
        <v>3</v>
      </c>
      <c r="O9" s="8" t="str">
        <f t="shared" si="7"/>
        <v>Time 4|3</v>
      </c>
      <c r="P9" s="8">
        <f t="shared" si="8"/>
        <v>0</v>
      </c>
      <c r="Q9" s="8" t="str">
        <f t="shared" si="9"/>
        <v/>
      </c>
    </row>
    <row r="10">
      <c r="A10" s="40" t="s">
        <v>97</v>
      </c>
      <c r="B10" s="40" t="s">
        <v>98</v>
      </c>
      <c r="C10" s="46" t="s">
        <v>22</v>
      </c>
      <c r="D10" s="27">
        <f t="array" ref="D10">INDEX('Valores por Elo'!$C$6:$C$15,MATCH($C10,'Valores por Elo'!$B$6:$B$15,0))</f>
        <v>4</v>
      </c>
      <c r="E10" s="12" t="s">
        <v>83</v>
      </c>
      <c r="F10" s="40" t="s">
        <v>83</v>
      </c>
      <c r="G10" s="12">
        <f t="shared" si="1"/>
        <v>0</v>
      </c>
      <c r="H10" s="12">
        <f t="shared" si="2"/>
        <v>0</v>
      </c>
      <c r="I10" s="12">
        <f t="shared" si="3"/>
        <v>1</v>
      </c>
      <c r="J10" s="12">
        <f t="shared" si="4"/>
        <v>0</v>
      </c>
      <c r="K10" s="12">
        <f t="shared" si="5"/>
        <v>0</v>
      </c>
      <c r="L10" s="12" t="s">
        <v>77</v>
      </c>
      <c r="M10" s="31" t="s">
        <v>51</v>
      </c>
      <c r="N10" s="8">
        <f t="shared" si="6"/>
        <v>2</v>
      </c>
      <c r="O10" s="8" t="str">
        <f t="shared" si="7"/>
        <v>Time 3|2</v>
      </c>
      <c r="P10" s="8">
        <f t="shared" si="8"/>
        <v>1</v>
      </c>
      <c r="Q10" s="8">
        <f t="shared" si="9"/>
        <v>4</v>
      </c>
    </row>
    <row r="11">
      <c r="A11" s="40" t="s">
        <v>99</v>
      </c>
      <c r="B11" s="40" t="s">
        <v>100</v>
      </c>
      <c r="C11" s="47" t="s">
        <v>26</v>
      </c>
      <c r="D11" s="27">
        <f t="array" ref="D11">INDEX('Valores por Elo'!$C$6:$C$15,MATCH($C11,'Valores por Elo'!$B$6:$B$15,0))</f>
        <v>10</v>
      </c>
      <c r="E11" s="12" t="s">
        <v>76</v>
      </c>
      <c r="F11" s="40" t="s">
        <v>76</v>
      </c>
      <c r="G11" s="12">
        <f t="shared" si="1"/>
        <v>0</v>
      </c>
      <c r="H11" s="12">
        <f t="shared" si="2"/>
        <v>1</v>
      </c>
      <c r="I11" s="12">
        <f t="shared" si="3"/>
        <v>0</v>
      </c>
      <c r="J11" s="12">
        <f t="shared" si="4"/>
        <v>0</v>
      </c>
      <c r="K11" s="12">
        <f t="shared" si="5"/>
        <v>0</v>
      </c>
      <c r="L11" s="12" t="s">
        <v>77</v>
      </c>
      <c r="M11" s="31" t="s">
        <v>49</v>
      </c>
      <c r="N11" s="8">
        <f t="shared" si="6"/>
        <v>1</v>
      </c>
      <c r="O11" s="8" t="str">
        <f t="shared" si="7"/>
        <v>Time 1|1</v>
      </c>
      <c r="P11" s="8">
        <f t="shared" si="8"/>
        <v>0</v>
      </c>
      <c r="Q11" s="8" t="str">
        <f t="shared" si="9"/>
        <v/>
      </c>
    </row>
    <row r="12">
      <c r="A12" s="40" t="s">
        <v>101</v>
      </c>
      <c r="B12" s="40" t="s">
        <v>102</v>
      </c>
      <c r="C12" s="42" t="s">
        <v>24</v>
      </c>
      <c r="D12" s="27">
        <f t="array" ref="D12">INDEX('Valores por Elo'!$C$6:$C$15,MATCH($C12,'Valores por Elo'!$B$6:$B$15,0))</f>
        <v>6</v>
      </c>
      <c r="E12" s="12" t="s">
        <v>80</v>
      </c>
      <c r="F12" s="40" t="s">
        <v>80</v>
      </c>
      <c r="G12" s="12">
        <f t="shared" si="1"/>
        <v>0</v>
      </c>
      <c r="H12" s="12">
        <f t="shared" si="2"/>
        <v>0</v>
      </c>
      <c r="I12" s="12">
        <f t="shared" si="3"/>
        <v>0</v>
      </c>
      <c r="J12" s="12">
        <f t="shared" si="4"/>
        <v>1</v>
      </c>
      <c r="K12" s="12">
        <f t="shared" si="5"/>
        <v>0</v>
      </c>
      <c r="L12" s="12" t="s">
        <v>77</v>
      </c>
      <c r="M12" s="31" t="s">
        <v>52</v>
      </c>
      <c r="N12" s="8">
        <f t="shared" si="6"/>
        <v>4</v>
      </c>
      <c r="O12" s="8" t="str">
        <f t="shared" si="7"/>
        <v>Time 4|4</v>
      </c>
      <c r="P12" s="8">
        <f t="shared" si="8"/>
        <v>0</v>
      </c>
      <c r="Q12" s="8" t="str">
        <f t="shared" si="9"/>
        <v/>
      </c>
    </row>
    <row r="13">
      <c r="A13" s="40" t="s">
        <v>103</v>
      </c>
      <c r="B13" s="40" t="s">
        <v>104</v>
      </c>
      <c r="C13" s="42" t="s">
        <v>24</v>
      </c>
      <c r="D13" s="27">
        <f t="array" ref="D13">INDEX('Valores por Elo'!$C$6:$C$15,MATCH($C13,'Valores por Elo'!$B$6:$B$15,0))</f>
        <v>6</v>
      </c>
      <c r="E13" s="12" t="s">
        <v>86</v>
      </c>
      <c r="F13" s="40" t="s">
        <v>86</v>
      </c>
      <c r="G13" s="12">
        <f t="shared" si="1"/>
        <v>0</v>
      </c>
      <c r="H13" s="12">
        <f t="shared" si="2"/>
        <v>0</v>
      </c>
      <c r="I13" s="12">
        <f t="shared" si="3"/>
        <v>0</v>
      </c>
      <c r="J13" s="12">
        <f t="shared" si="4"/>
        <v>0</v>
      </c>
      <c r="K13" s="12">
        <f t="shared" si="5"/>
        <v>1</v>
      </c>
      <c r="L13" s="12" t="s">
        <v>77</v>
      </c>
      <c r="M13" s="31" t="s">
        <v>53</v>
      </c>
      <c r="N13" s="8">
        <f t="shared" si="6"/>
        <v>2</v>
      </c>
      <c r="O13" s="8" t="str">
        <f t="shared" si="7"/>
        <v>Time 5|2</v>
      </c>
      <c r="P13" s="8">
        <f t="shared" si="8"/>
        <v>0</v>
      </c>
      <c r="Q13" s="8" t="str">
        <f t="shared" si="9"/>
        <v/>
      </c>
    </row>
    <row r="14">
      <c r="A14" s="40" t="s">
        <v>105</v>
      </c>
      <c r="B14" s="40" t="s">
        <v>106</v>
      </c>
      <c r="C14" s="46" t="s">
        <v>22</v>
      </c>
      <c r="D14" s="27">
        <f t="array" ref="D14">INDEX('Valores por Elo'!$C$6:$C$15,MATCH($C14,'Valores por Elo'!$B$6:$B$15,0))</f>
        <v>4</v>
      </c>
      <c r="E14" s="12" t="s">
        <v>80</v>
      </c>
      <c r="F14" s="40" t="s">
        <v>80</v>
      </c>
      <c r="G14" s="12">
        <f t="shared" si="1"/>
        <v>0</v>
      </c>
      <c r="H14" s="12">
        <f t="shared" si="2"/>
        <v>0</v>
      </c>
      <c r="I14" s="12">
        <f t="shared" si="3"/>
        <v>0</v>
      </c>
      <c r="J14" s="12">
        <f t="shared" si="4"/>
        <v>1</v>
      </c>
      <c r="K14" s="12">
        <f t="shared" si="5"/>
        <v>0</v>
      </c>
      <c r="L14" s="12" t="s">
        <v>91</v>
      </c>
      <c r="M14" s="31" t="s">
        <v>51</v>
      </c>
      <c r="N14" s="8">
        <f t="shared" si="6"/>
        <v>3</v>
      </c>
      <c r="O14" s="8" t="str">
        <f t="shared" si="7"/>
        <v>Time 3|3</v>
      </c>
      <c r="P14" s="8">
        <f t="shared" si="8"/>
        <v>0</v>
      </c>
      <c r="Q14" s="8" t="str">
        <f t="shared" si="9"/>
        <v/>
      </c>
    </row>
    <row r="15">
      <c r="A15" s="40" t="s">
        <v>107</v>
      </c>
      <c r="B15" s="40" t="s">
        <v>108</v>
      </c>
      <c r="C15" s="42" t="s">
        <v>24</v>
      </c>
      <c r="D15" s="27">
        <f t="array" ref="D15">INDEX('Valores por Elo'!$C$6:$C$15,MATCH($C15,'Valores por Elo'!$B$6:$B$15,0))</f>
        <v>6</v>
      </c>
      <c r="E15" s="12" t="s">
        <v>94</v>
      </c>
      <c r="F15" s="40" t="s">
        <v>94</v>
      </c>
      <c r="G15" s="12">
        <f t="shared" si="1"/>
        <v>1</v>
      </c>
      <c r="H15" s="12">
        <f t="shared" si="2"/>
        <v>0</v>
      </c>
      <c r="I15" s="12">
        <f t="shared" si="3"/>
        <v>0</v>
      </c>
      <c r="J15" s="12">
        <f t="shared" si="4"/>
        <v>0</v>
      </c>
      <c r="K15" s="12">
        <f t="shared" si="5"/>
        <v>0</v>
      </c>
      <c r="L15" s="12" t="s">
        <v>77</v>
      </c>
      <c r="M15" s="31" t="s">
        <v>50</v>
      </c>
      <c r="N15" s="8">
        <f t="shared" si="6"/>
        <v>4</v>
      </c>
      <c r="O15" s="8" t="str">
        <f t="shared" si="7"/>
        <v>Time 2|4</v>
      </c>
      <c r="P15" s="8">
        <f t="shared" si="8"/>
        <v>0</v>
      </c>
      <c r="Q15" s="8" t="str">
        <f t="shared" si="9"/>
        <v/>
      </c>
    </row>
    <row r="16">
      <c r="A16" s="40" t="s">
        <v>109</v>
      </c>
      <c r="B16" s="40" t="s">
        <v>110</v>
      </c>
      <c r="C16" s="43" t="s">
        <v>23</v>
      </c>
      <c r="D16" s="27">
        <f t="array" ref="D16">INDEX('Valores por Elo'!$C$6:$C$15,MATCH($C16,'Valores por Elo'!$B$6:$B$15,0))</f>
        <v>5</v>
      </c>
      <c r="E16" s="12" t="s">
        <v>86</v>
      </c>
      <c r="F16" s="40" t="s">
        <v>86</v>
      </c>
      <c r="G16" s="12">
        <f t="shared" si="1"/>
        <v>0</v>
      </c>
      <c r="H16" s="12">
        <f t="shared" si="2"/>
        <v>0</v>
      </c>
      <c r="I16" s="12">
        <f t="shared" si="3"/>
        <v>0</v>
      </c>
      <c r="J16" s="12">
        <f t="shared" si="4"/>
        <v>0</v>
      </c>
      <c r="K16" s="12">
        <f t="shared" si="5"/>
        <v>1</v>
      </c>
      <c r="L16" s="12" t="s">
        <v>91</v>
      </c>
      <c r="M16" s="31" t="s">
        <v>52</v>
      </c>
      <c r="N16" s="8">
        <f t="shared" si="6"/>
        <v>5</v>
      </c>
      <c r="O16" s="8" t="str">
        <f t="shared" si="7"/>
        <v>Time 4|5</v>
      </c>
      <c r="P16" s="8">
        <f t="shared" si="8"/>
        <v>0</v>
      </c>
      <c r="Q16" s="8" t="str">
        <f t="shared" si="9"/>
        <v/>
      </c>
    </row>
    <row r="17">
      <c r="A17" s="40" t="s">
        <v>111</v>
      </c>
      <c r="B17" s="40" t="s">
        <v>112</v>
      </c>
      <c r="C17" s="43" t="s">
        <v>23</v>
      </c>
      <c r="D17" s="27">
        <f t="array" ref="D17">INDEX('Valores por Elo'!$C$6:$C$15,MATCH($C17,'Valores por Elo'!$B$6:$B$15,0))</f>
        <v>5</v>
      </c>
      <c r="E17" s="12" t="s">
        <v>80</v>
      </c>
      <c r="F17" s="40" t="s">
        <v>80</v>
      </c>
      <c r="G17" s="12">
        <f t="shared" si="1"/>
        <v>0</v>
      </c>
      <c r="H17" s="12">
        <f t="shared" si="2"/>
        <v>0</v>
      </c>
      <c r="I17" s="12">
        <f t="shared" si="3"/>
        <v>0</v>
      </c>
      <c r="J17" s="12">
        <f t="shared" si="4"/>
        <v>1</v>
      </c>
      <c r="K17" s="12">
        <f t="shared" si="5"/>
        <v>0</v>
      </c>
      <c r="L17" s="12" t="s">
        <v>77</v>
      </c>
      <c r="M17" s="31" t="s">
        <v>54</v>
      </c>
      <c r="N17" s="8">
        <f t="shared" si="6"/>
        <v>1</v>
      </c>
      <c r="O17" s="8" t="str">
        <f t="shared" si="7"/>
        <v>Time 6|1</v>
      </c>
      <c r="P17" s="8">
        <f t="shared" si="8"/>
        <v>0</v>
      </c>
      <c r="Q17" s="8" t="str">
        <f t="shared" si="9"/>
        <v/>
      </c>
    </row>
    <row r="18">
      <c r="A18" s="40" t="s">
        <v>113</v>
      </c>
      <c r="B18" s="40" t="s">
        <v>114</v>
      </c>
      <c r="C18" s="41" t="s">
        <v>25</v>
      </c>
      <c r="D18" s="27">
        <f t="array" ref="D18">INDEX('Valores por Elo'!$C$6:$C$15,MATCH($C18,'Valores por Elo'!$B$6:$B$15,0))</f>
        <v>8</v>
      </c>
      <c r="E18" s="12" t="s">
        <v>94</v>
      </c>
      <c r="F18" s="40" t="s">
        <v>94</v>
      </c>
      <c r="G18" s="12">
        <f t="shared" si="1"/>
        <v>1</v>
      </c>
      <c r="H18" s="12">
        <f t="shared" si="2"/>
        <v>0</v>
      </c>
      <c r="I18" s="12">
        <f t="shared" si="3"/>
        <v>0</v>
      </c>
      <c r="J18" s="12">
        <f t="shared" si="4"/>
        <v>0</v>
      </c>
      <c r="K18" s="12">
        <f t="shared" si="5"/>
        <v>0</v>
      </c>
      <c r="L18" s="12" t="s">
        <v>77</v>
      </c>
      <c r="M18" s="31" t="s">
        <v>54</v>
      </c>
      <c r="N18" s="8">
        <f t="shared" si="6"/>
        <v>2</v>
      </c>
      <c r="O18" s="8" t="str">
        <f t="shared" si="7"/>
        <v>Time 6|2</v>
      </c>
      <c r="P18" s="8">
        <f t="shared" si="8"/>
        <v>0</v>
      </c>
      <c r="Q18" s="8" t="str">
        <f t="shared" si="9"/>
        <v/>
      </c>
    </row>
    <row r="19">
      <c r="A19" s="40" t="s">
        <v>115</v>
      </c>
      <c r="B19" s="40" t="inlineStr">
        <is>
          <t>Maxmp #br1</t>
        </is>
      </c>
      <c r="C19" s="42" t="s">
        <v>24</v>
      </c>
      <c r="D19" s="27">
        <f t="array" ref="D19">INDEX('Valores por Elo'!$C$6:$C$15,MATCH($C19,'Valores por Elo'!$B$6:$B$15,0))</f>
        <v>6</v>
      </c>
      <c r="E19" s="12" t="s">
        <v>86</v>
      </c>
      <c r="F19" s="40" t="s">
        <v>86</v>
      </c>
      <c r="G19" s="12">
        <f t="shared" si="1"/>
        <v>0</v>
      </c>
      <c r="H19" s="12">
        <f t="shared" si="2"/>
        <v>0</v>
      </c>
      <c r="I19" s="12">
        <f t="shared" si="3"/>
        <v>0</v>
      </c>
      <c r="J19" s="12">
        <f t="shared" si="4"/>
        <v>0</v>
      </c>
      <c r="K19" s="12">
        <f t="shared" si="5"/>
        <v>1</v>
      </c>
      <c r="L19" s="12" t="s">
        <v>91</v>
      </c>
      <c r="M19" s="31" t="s">
        <v>54</v>
      </c>
      <c r="N19" s="8">
        <f t="shared" si="6"/>
        <v>3</v>
      </c>
      <c r="O19" s="8" t="str">
        <f t="shared" si="7"/>
        <v>Time 6|3</v>
      </c>
      <c r="P19" s="8">
        <f t="shared" si="8"/>
        <v>0</v>
      </c>
      <c r="Q19" s="8" t="str">
        <f t="shared" si="9"/>
        <v/>
      </c>
    </row>
    <row r="20">
      <c r="A20" s="40" t="s">
        <v>117</v>
      </c>
      <c r="B20" s="40" t="s">
        <v>118</v>
      </c>
      <c r="C20" s="43" t="s">
        <v>23</v>
      </c>
      <c r="D20" s="27">
        <f t="array" ref="D20">INDEX('Valores por Elo'!$C$6:$C$15,MATCH($C20,'Valores por Elo'!$B$6:$B$15,0))</f>
        <v>5</v>
      </c>
      <c r="E20" s="12" t="s">
        <v>80</v>
      </c>
      <c r="F20" s="40" t="s">
        <v>80</v>
      </c>
      <c r="G20" s="12">
        <f t="shared" si="1"/>
        <v>0</v>
      </c>
      <c r="H20" s="12">
        <f t="shared" si="2"/>
        <v>0</v>
      </c>
      <c r="I20" s="12">
        <f t="shared" si="3"/>
        <v>0</v>
      </c>
      <c r="J20" s="12">
        <f t="shared" si="4"/>
        <v>1</v>
      </c>
      <c r="K20" s="12">
        <f t="shared" si="5"/>
        <v>0</v>
      </c>
      <c r="L20" s="12" t="s">
        <v>77</v>
      </c>
      <c r="M20" s="31" t="s">
        <v>54</v>
      </c>
      <c r="N20" s="8">
        <f t="shared" si="6"/>
        <v>4</v>
      </c>
      <c r="O20" s="8" t="str">
        <f t="shared" si="7"/>
        <v>Time 6|4</v>
      </c>
      <c r="P20" s="8">
        <f t="shared" si="8"/>
        <v>0</v>
      </c>
      <c r="Q20" s="8" t="str">
        <f t="shared" si="9"/>
        <v/>
      </c>
    </row>
    <row r="21" ht="15.75" customHeight="1">
      <c r="A21" s="40" t="s">
        <v>119</v>
      </c>
      <c r="B21" s="40" t="s">
        <v>120</v>
      </c>
      <c r="C21" s="46" t="s">
        <v>22</v>
      </c>
      <c r="D21" s="27">
        <f t="array" ref="D21">INDEX('Valores por Elo'!$C$6:$C$15,MATCH($C21,'Valores por Elo'!$B$6:$B$15,0))</f>
        <v>4</v>
      </c>
      <c r="E21" s="12" t="s">
        <v>83</v>
      </c>
      <c r="F21" s="40" t="s">
        <v>83</v>
      </c>
      <c r="G21" s="12">
        <f t="shared" si="1"/>
        <v>0</v>
      </c>
      <c r="H21" s="12">
        <f t="shared" si="2"/>
        <v>0</v>
      </c>
      <c r="I21" s="12">
        <f t="shared" si="3"/>
        <v>1</v>
      </c>
      <c r="J21" s="12">
        <f t="shared" si="4"/>
        <v>0</v>
      </c>
      <c r="K21" s="12">
        <f t="shared" si="5"/>
        <v>0</v>
      </c>
      <c r="L21" s="12" t="s">
        <v>91</v>
      </c>
      <c r="M21" s="31" t="s">
        <v>49</v>
      </c>
      <c r="N21" s="8">
        <f t="shared" si="6"/>
        <v>2</v>
      </c>
      <c r="O21" s="8" t="str">
        <f t="shared" si="7"/>
        <v>Time 1|2</v>
      </c>
      <c r="P21" s="8">
        <f t="shared" si="8"/>
        <v>1</v>
      </c>
      <c r="Q21" s="8">
        <f t="shared" si="9"/>
        <v>5</v>
      </c>
    </row>
    <row r="22" ht="15.75" customHeight="1">
      <c r="A22" s="40" t="s">
        <v>121</v>
      </c>
      <c r="B22" s="40" t="s">
        <v>122</v>
      </c>
      <c r="C22" s="44" t="s">
        <v>20</v>
      </c>
      <c r="D22" s="27">
        <f t="array" ref="D22">INDEX('Valores por Elo'!$C$6:$C$15,MATCH($C22,'Valores por Elo'!$B$6:$B$15,0))</f>
        <v>2</v>
      </c>
      <c r="E22" s="12" t="s">
        <v>86</v>
      </c>
      <c r="F22" s="40" t="s">
        <v>86</v>
      </c>
      <c r="G22" s="12">
        <f t="shared" si="1"/>
        <v>0</v>
      </c>
      <c r="H22" s="12">
        <f t="shared" si="2"/>
        <v>0</v>
      </c>
      <c r="I22" s="12">
        <f t="shared" si="3"/>
        <v>0</v>
      </c>
      <c r="J22" s="12">
        <f t="shared" si="4"/>
        <v>0</v>
      </c>
      <c r="K22" s="12">
        <f t="shared" si="5"/>
        <v>1</v>
      </c>
      <c r="L22" s="12" t="s">
        <v>77</v>
      </c>
      <c r="M22" s="31" t="s">
        <v>53</v>
      </c>
      <c r="N22" s="8">
        <f t="shared" si="6"/>
        <v>3</v>
      </c>
      <c r="O22" s="8" t="str">
        <f t="shared" si="7"/>
        <v>Time 5|3</v>
      </c>
      <c r="P22" s="8">
        <f t="shared" si="8"/>
        <v>0</v>
      </c>
      <c r="Q22" s="8" t="str">
        <f t="shared" si="9"/>
        <v/>
      </c>
    </row>
    <row r="23" ht="15.75" customHeight="1">
      <c r="A23" s="40" t="s">
        <v>123</v>
      </c>
      <c r="B23" s="40" t="s">
        <v>124</v>
      </c>
      <c r="C23" s="46" t="s">
        <v>22</v>
      </c>
      <c r="D23" s="27">
        <f t="array" ref="D23">INDEX('Valores por Elo'!$C$6:$C$15,MATCH($C23,'Valores por Elo'!$B$6:$B$15,0))</f>
        <v>4</v>
      </c>
      <c r="E23" s="12" t="s">
        <v>80</v>
      </c>
      <c r="F23" s="40" t="s">
        <v>80</v>
      </c>
      <c r="G23" s="12">
        <f t="shared" si="1"/>
        <v>0</v>
      </c>
      <c r="H23" s="12">
        <f t="shared" si="2"/>
        <v>0</v>
      </c>
      <c r="I23" s="12">
        <f t="shared" si="3"/>
        <v>0</v>
      </c>
      <c r="J23" s="12">
        <f t="shared" si="4"/>
        <v>1</v>
      </c>
      <c r="K23" s="12">
        <f t="shared" si="5"/>
        <v>0</v>
      </c>
      <c r="L23" s="12" t="s">
        <v>77</v>
      </c>
      <c r="M23" s="31" t="s">
        <v>53</v>
      </c>
      <c r="N23" s="8">
        <f t="shared" si="6"/>
        <v>4</v>
      </c>
      <c r="O23" s="8" t="str">
        <f t="shared" si="7"/>
        <v>Time 5|4</v>
      </c>
      <c r="P23" s="8">
        <f t="shared" si="8"/>
        <v>0</v>
      </c>
      <c r="Q23" s="8" t="str">
        <f t="shared" si="9"/>
        <v/>
      </c>
    </row>
    <row r="24" ht="15.75" customHeight="1">
      <c r="A24" s="40" t="s">
        <v>125</v>
      </c>
      <c r="B24" s="40" t="s">
        <v>126</v>
      </c>
      <c r="C24" s="42" t="s">
        <v>24</v>
      </c>
      <c r="D24" s="27">
        <f t="array" ref="D24">INDEX('Valores por Elo'!$C$6:$C$15,MATCH($C24,'Valores por Elo'!$B$6:$B$15,0))</f>
        <v>6</v>
      </c>
      <c r="E24" s="12" t="s">
        <v>94</v>
      </c>
      <c r="F24" s="40" t="s">
        <v>94</v>
      </c>
      <c r="G24" s="12">
        <f t="shared" si="1"/>
        <v>1</v>
      </c>
      <c r="H24" s="12">
        <f t="shared" si="2"/>
        <v>0</v>
      </c>
      <c r="I24" s="12">
        <f t="shared" si="3"/>
        <v>0</v>
      </c>
      <c r="J24" s="12">
        <f t="shared" si="4"/>
        <v>0</v>
      </c>
      <c r="K24" s="12">
        <f t="shared" si="5"/>
        <v>0</v>
      </c>
      <c r="L24" s="12" t="s">
        <v>91</v>
      </c>
      <c r="M24" s="31" t="s">
        <v>53</v>
      </c>
      <c r="N24" s="8">
        <f t="shared" si="6"/>
        <v>5</v>
      </c>
      <c r="O24" s="8" t="str">
        <f t="shared" si="7"/>
        <v>Time 5|5</v>
      </c>
      <c r="P24" s="8">
        <f t="shared" si="8"/>
        <v>0</v>
      </c>
      <c r="Q24" s="8" t="str">
        <f t="shared" si="9"/>
        <v/>
      </c>
    </row>
    <row r="25" ht="15.75" customHeight="1">
      <c r="A25" s="40" t="s">
        <v>127</v>
      </c>
      <c r="B25" s="40" t="s">
        <v>128</v>
      </c>
      <c r="C25" s="43" t="s">
        <v>23</v>
      </c>
      <c r="D25" s="27">
        <f t="array" ref="D25">INDEX('Valores por Elo'!$C$6:$C$15,MATCH($C25,'Valores por Elo'!$B$6:$B$15,0))</f>
        <v>5</v>
      </c>
      <c r="E25" s="12" t="s">
        <v>94</v>
      </c>
      <c r="F25" s="40" t="s">
        <v>94</v>
      </c>
      <c r="G25" s="12">
        <f t="shared" si="1"/>
        <v>1</v>
      </c>
      <c r="H25" s="12">
        <f t="shared" si="2"/>
        <v>0</v>
      </c>
      <c r="I25" s="12">
        <f t="shared" si="3"/>
        <v>0</v>
      </c>
      <c r="J25" s="12">
        <f t="shared" si="4"/>
        <v>0</v>
      </c>
      <c r="K25" s="12">
        <f t="shared" si="5"/>
        <v>0</v>
      </c>
      <c r="L25" s="12" t="s">
        <v>77</v>
      </c>
      <c r="M25" s="31" t="s">
        <v>49</v>
      </c>
      <c r="N25" s="8">
        <f t="shared" si="6"/>
        <v>3</v>
      </c>
      <c r="O25" s="8" t="str">
        <f t="shared" si="7"/>
        <v>Time 1|3</v>
      </c>
      <c r="P25" s="8">
        <f t="shared" si="8"/>
        <v>0</v>
      </c>
      <c r="Q25" s="8" t="str">
        <f t="shared" si="9"/>
        <v/>
      </c>
    </row>
    <row r="26" ht="15.75" customHeight="1">
      <c r="A26" s="40" t="s">
        <v>129</v>
      </c>
      <c r="B26" s="40" t="inlineStr">
        <is>
          <t>Onigami #666</t>
        </is>
      </c>
      <c r="C26" s="43" t="s">
        <v>23</v>
      </c>
      <c r="D26" s="27">
        <f t="array" ref="D26">INDEX('Valores por Elo'!$C$6:$C$15,MATCH($C26,'Valores por Elo'!$B$6:$B$15,0))</f>
        <v>5</v>
      </c>
      <c r="E26" s="12" t="s">
        <v>80</v>
      </c>
      <c r="F26" s="40" t="s">
        <v>94</v>
      </c>
      <c r="G26" s="12">
        <f t="shared" si="1"/>
        <v>1</v>
      </c>
      <c r="H26" s="12">
        <f t="shared" si="2"/>
        <v>0</v>
      </c>
      <c r="I26" s="12">
        <f t="shared" si="3"/>
        <v>0</v>
      </c>
      <c r="J26" s="12">
        <f t="shared" si="4"/>
        <v>0</v>
      </c>
      <c r="K26" s="12">
        <f t="shared" si="5"/>
        <v>0</v>
      </c>
      <c r="L26" s="12" t="s">
        <v>77</v>
      </c>
      <c r="M26" s="31" t="s">
        <v>51</v>
      </c>
      <c r="N26" s="8">
        <f t="shared" si="6"/>
        <v>4</v>
      </c>
      <c r="O26" s="8" t="str">
        <f t="shared" si="7"/>
        <v>Time 3|4</v>
      </c>
      <c r="P26" s="8">
        <f t="shared" si="8"/>
        <v>0</v>
      </c>
      <c r="Q26" s="8" t="str">
        <f t="shared" si="9"/>
        <v/>
      </c>
    </row>
    <row r="27" ht="15.75" customHeight="1">
      <c r="A27" s="40" t="s">
        <v>131</v>
      </c>
      <c r="B27" s="40" t="s">
        <v>132</v>
      </c>
      <c r="C27" s="43" t="s">
        <v>23</v>
      </c>
      <c r="D27" s="27">
        <f t="array" ref="D27">INDEX('Valores por Elo'!$C$6:$C$15,MATCH($C27,'Valores por Elo'!$B$6:$B$15,0))</f>
        <v>5</v>
      </c>
      <c r="E27" s="12" t="s">
        <v>83</v>
      </c>
      <c r="F27" s="40" t="s">
        <v>83</v>
      </c>
      <c r="G27" s="12">
        <f t="shared" si="1"/>
        <v>0</v>
      </c>
      <c r="H27" s="12">
        <f t="shared" si="2"/>
        <v>0</v>
      </c>
      <c r="I27" s="12">
        <f t="shared" si="3"/>
        <v>1</v>
      </c>
      <c r="J27" s="12">
        <f t="shared" si="4"/>
        <v>0</v>
      </c>
      <c r="K27" s="12">
        <f t="shared" si="5"/>
        <v>0</v>
      </c>
      <c r="L27" s="12" t="s">
        <v>91</v>
      </c>
      <c r="M27" s="31" t="s">
        <v>54</v>
      </c>
      <c r="N27" s="8">
        <f t="shared" si="6"/>
        <v>5</v>
      </c>
      <c r="O27" s="8" t="str">
        <f t="shared" si="7"/>
        <v>Time 6|5</v>
      </c>
      <c r="P27" s="8">
        <f t="shared" si="8"/>
        <v>1</v>
      </c>
      <c r="Q27" s="8">
        <f t="shared" si="9"/>
        <v>6</v>
      </c>
    </row>
    <row r="28" ht="15.75" customHeight="1">
      <c r="A28" s="40" t="s">
        <v>133</v>
      </c>
      <c r="B28" s="40" t="s">
        <v>134</v>
      </c>
      <c r="C28" s="46" t="s">
        <v>22</v>
      </c>
      <c r="D28" s="27">
        <f t="array" ref="D28">INDEX('Valores por Elo'!$C$6:$C$15,MATCH($C28,'Valores por Elo'!$B$6:$B$15,0))</f>
        <v>4</v>
      </c>
      <c r="E28" s="12" t="s">
        <v>86</v>
      </c>
      <c r="F28" s="40" t="s">
        <v>86</v>
      </c>
      <c r="G28" s="12">
        <f t="shared" si="1"/>
        <v>0</v>
      </c>
      <c r="H28" s="12">
        <f t="shared" si="2"/>
        <v>0</v>
      </c>
      <c r="I28" s="12">
        <f t="shared" si="3"/>
        <v>0</v>
      </c>
      <c r="J28" s="12">
        <f t="shared" si="4"/>
        <v>0</v>
      </c>
      <c r="K28" s="12">
        <f t="shared" si="5"/>
        <v>1</v>
      </c>
      <c r="L28" s="12" t="s">
        <v>77</v>
      </c>
      <c r="M28" s="31" t="s">
        <v>49</v>
      </c>
      <c r="N28" s="8">
        <f t="shared" si="6"/>
        <v>4</v>
      </c>
      <c r="O28" s="8" t="str">
        <f t="shared" si="7"/>
        <v>Time 1|4</v>
      </c>
      <c r="P28" s="8">
        <f t="shared" si="8"/>
        <v>0</v>
      </c>
      <c r="Q28" s="8" t="str">
        <f t="shared" si="9"/>
        <v/>
      </c>
    </row>
    <row r="29" ht="15.75" customHeight="1">
      <c r="A29" s="40" t="s">
        <v>135</v>
      </c>
      <c r="B29" s="40" t="s">
        <v>136</v>
      </c>
      <c r="C29" s="42" t="s">
        <v>24</v>
      </c>
      <c r="D29" s="27">
        <f t="array" ref="D29">INDEX('Valores por Elo'!$C$6:$C$15,MATCH($C29,'Valores por Elo'!$B$6:$B$15,0))</f>
        <v>6</v>
      </c>
      <c r="E29" s="12" t="s">
        <v>76</v>
      </c>
      <c r="F29" s="40" t="s">
        <v>76</v>
      </c>
      <c r="G29" s="12">
        <f t="shared" si="1"/>
        <v>0</v>
      </c>
      <c r="H29" s="12">
        <f t="shared" si="2"/>
        <v>1</v>
      </c>
      <c r="I29" s="12">
        <f t="shared" si="3"/>
        <v>0</v>
      </c>
      <c r="J29" s="12">
        <f t="shared" si="4"/>
        <v>0</v>
      </c>
      <c r="K29" s="12">
        <f t="shared" si="5"/>
        <v>0</v>
      </c>
      <c r="L29" s="12" t="s">
        <v>77</v>
      </c>
      <c r="M29" s="31" t="s">
        <v>51</v>
      </c>
      <c r="N29" s="8">
        <f t="shared" si="6"/>
        <v>5</v>
      </c>
      <c r="O29" s="8" t="str">
        <f t="shared" si="7"/>
        <v>Time 3|5</v>
      </c>
      <c r="P29" s="8">
        <f t="shared" si="8"/>
        <v>0</v>
      </c>
      <c r="Q29" s="8" t="str">
        <f t="shared" si="9"/>
        <v/>
      </c>
    </row>
    <row r="30" ht="15.75" customHeight="1">
      <c r="A30" s="40" t="s">
        <v>137</v>
      </c>
      <c r="B30" s="40" t="s">
        <v>138</v>
      </c>
      <c r="C30" s="45" t="s">
        <v>21</v>
      </c>
      <c r="D30" s="27">
        <f t="array" ref="D30">INDEX('Valores por Elo'!$C$6:$C$15,MATCH($C30,'Valores por Elo'!$B$6:$B$15,0))</f>
        <v>3</v>
      </c>
      <c r="E30" s="12" t="s">
        <v>80</v>
      </c>
      <c r="F30" s="40" t="s">
        <v>80</v>
      </c>
      <c r="G30" s="12">
        <f t="shared" si="1"/>
        <v>0</v>
      </c>
      <c r="H30" s="12">
        <f t="shared" si="2"/>
        <v>0</v>
      </c>
      <c r="I30" s="12">
        <f t="shared" si="3"/>
        <v>0</v>
      </c>
      <c r="J30" s="12">
        <f t="shared" si="4"/>
        <v>1</v>
      </c>
      <c r="K30" s="12">
        <f t="shared" si="5"/>
        <v>0</v>
      </c>
      <c r="L30" s="12" t="s">
        <v>77</v>
      </c>
      <c r="M30" s="31" t="s">
        <v>49</v>
      </c>
      <c r="N30" s="8">
        <f t="shared" si="6"/>
        <v>5</v>
      </c>
      <c r="O30" s="8" t="str">
        <f t="shared" si="7"/>
        <v>Time 1|5</v>
      </c>
      <c r="P30" s="8">
        <f t="shared" si="8"/>
        <v>0</v>
      </c>
      <c r="Q30" s="8" t="str">
        <f t="shared" si="9"/>
        <v/>
      </c>
    </row>
    <row r="31" ht="15.75" customHeight="1">
      <c r="A31" s="40" t="s">
        <v>139</v>
      </c>
      <c r="B31" s="40" t="s">
        <v>140</v>
      </c>
      <c r="C31" s="41" t="s">
        <v>25</v>
      </c>
      <c r="D31" s="27">
        <f t="array" ref="D31">INDEX('Valores por Elo'!$C$6:$C$15,MATCH($C31,'Valores por Elo'!$B$6:$B$15,0))</f>
        <v>8</v>
      </c>
      <c r="E31" s="12" t="s">
        <v>80</v>
      </c>
      <c r="F31" s="40" t="s">
        <v>80</v>
      </c>
      <c r="G31" s="12">
        <f t="shared" si="1"/>
        <v>0</v>
      </c>
      <c r="H31" s="12">
        <f t="shared" si="2"/>
        <v>0</v>
      </c>
      <c r="I31" s="12">
        <f t="shared" si="3"/>
        <v>0</v>
      </c>
      <c r="J31" s="12">
        <f t="shared" si="4"/>
        <v>1</v>
      </c>
      <c r="K31" s="12">
        <f t="shared" si="5"/>
        <v>0</v>
      </c>
      <c r="L31" s="12" t="s">
        <v>77</v>
      </c>
      <c r="M31" s="31" t="s">
        <v>50</v>
      </c>
      <c r="N31" s="8">
        <f t="shared" si="6"/>
        <v>5</v>
      </c>
      <c r="O31" s="8" t="str">
        <f t="shared" si="7"/>
        <v>Time 2|5</v>
      </c>
      <c r="P31" s="8">
        <f t="shared" si="8"/>
        <v>0</v>
      </c>
      <c r="Q31" s="8" t="str">
        <f t="shared" si="9"/>
        <v/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31"/>
  <dataValidations>
    <dataValidation type="list" allowBlank="1" sqref="M2:M31">
      <formula1>Draft!$B$6:$B$11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7.29"/>
    <col customWidth="1" min="3" max="3" width="16.0"/>
    <col customWidth="1" min="4" max="4" width="22.0"/>
    <col customWidth="1" min="5" max="26" width="8.71"/>
  </cols>
  <sheetData>
    <row r="2">
      <c r="B2" s="48" t="s">
        <v>141</v>
      </c>
    </row>
    <row r="3">
      <c r="B3" s="6" t="s">
        <v>142</v>
      </c>
    </row>
    <row r="5" ht="27.75" customHeight="1">
      <c r="B5" s="10" t="s">
        <v>17</v>
      </c>
      <c r="C5" s="10" t="s">
        <v>143</v>
      </c>
      <c r="D5" s="10" t="s">
        <v>144</v>
      </c>
    </row>
    <row r="6">
      <c r="B6" s="49" t="s">
        <v>19</v>
      </c>
      <c r="C6" s="31">
        <v>1.0</v>
      </c>
      <c r="D6" s="12">
        <f>COUNTIF('Base Jogadores'!$C$2:$C$31,$B6)</f>
        <v>0</v>
      </c>
    </row>
    <row r="7">
      <c r="B7" s="11" t="s">
        <v>20</v>
      </c>
      <c r="C7" s="31">
        <v>2.0</v>
      </c>
      <c r="D7" s="12">
        <f>COUNTIF('Base Jogadores'!$C$2:$C$31,$B7)</f>
        <v>3</v>
      </c>
    </row>
    <row r="8">
      <c r="B8" s="13" t="s">
        <v>21</v>
      </c>
      <c r="C8" s="31">
        <v>3.0</v>
      </c>
      <c r="D8" s="12">
        <f>COUNTIF('Base Jogadores'!$C$2:$C$31,$B8)</f>
        <v>2</v>
      </c>
    </row>
    <row r="9">
      <c r="B9" s="14" t="s">
        <v>22</v>
      </c>
      <c r="C9" s="31">
        <v>4.0</v>
      </c>
      <c r="D9" s="12">
        <f>COUNTIF('Base Jogadores'!$C$2:$C$31,$B9)</f>
        <v>5</v>
      </c>
    </row>
    <row r="10">
      <c r="B10" s="15" t="s">
        <v>23</v>
      </c>
      <c r="C10" s="31">
        <v>5.0</v>
      </c>
      <c r="D10" s="12">
        <f>COUNTIF('Base Jogadores'!$C$2:$C$31,$B10)</f>
        <v>8</v>
      </c>
    </row>
    <row r="11">
      <c r="B11" s="16" t="s">
        <v>24</v>
      </c>
      <c r="C11" s="31">
        <v>6.0</v>
      </c>
      <c r="D11" s="12">
        <f>COUNTIF('Base Jogadores'!$C$2:$C$31,$B11)</f>
        <v>7</v>
      </c>
    </row>
    <row r="12">
      <c r="B12" s="17" t="s">
        <v>25</v>
      </c>
      <c r="C12" s="31">
        <v>8.0</v>
      </c>
      <c r="D12" s="12">
        <f>COUNTIF('Base Jogadores'!$C$2:$C$31,$B12)</f>
        <v>4</v>
      </c>
    </row>
    <row r="13">
      <c r="B13" s="18" t="s">
        <v>26</v>
      </c>
      <c r="C13" s="31">
        <v>10.0</v>
      </c>
      <c r="D13" s="12">
        <f>COUNTIF('Base Jogadores'!$C$2:$C$31,$B13)</f>
        <v>1</v>
      </c>
    </row>
    <row r="14">
      <c r="B14" s="35" t="s">
        <v>27</v>
      </c>
      <c r="C14" s="31">
        <v>12.0</v>
      </c>
      <c r="D14" s="12">
        <f>COUNTIF('Base Jogadores'!$C$2:$C$31,$B14)</f>
        <v>0</v>
      </c>
    </row>
    <row r="15">
      <c r="B15" s="36" t="s">
        <v>28</v>
      </c>
      <c r="C15" s="31">
        <v>15.0</v>
      </c>
      <c r="D15" s="12">
        <f>COUNTIF('Base Jogadores'!$C$2:$C$31,$B15)</f>
        <v>0</v>
      </c>
    </row>
    <row r="18">
      <c r="B18" s="9" t="s">
        <v>145</v>
      </c>
    </row>
    <row r="19">
      <c r="B19" s="40" t="s">
        <v>146</v>
      </c>
      <c r="C19" s="27">
        <f>COUNTA('Base Jogadores'!$A$2:$A$31)</f>
        <v>30</v>
      </c>
    </row>
    <row r="20">
      <c r="B20" s="40" t="s">
        <v>147</v>
      </c>
      <c r="C20" s="27">
        <f>SUM('Base Jogadores'!$D$2:$D$31)</f>
        <v>156</v>
      </c>
    </row>
    <row r="21" ht="15.75" customHeight="1">
      <c r="B21" s="40" t="s">
        <v>148</v>
      </c>
      <c r="C21" s="27">
        <f>ROUND(C20/5/5,0)</f>
        <v>6</v>
      </c>
    </row>
    <row r="22" ht="15.75" customHeight="1">
      <c r="B22" s="40" t="s">
        <v>149</v>
      </c>
      <c r="C22" s="27">
        <f>ROUND(C20/C21,1)</f>
        <v>26</v>
      </c>
    </row>
    <row r="23" ht="15.75" customHeight="1">
      <c r="B23" s="40" t="s">
        <v>150</v>
      </c>
      <c r="C23" s="27">
        <f>ROUNDUP(C22*1.15,0)</f>
        <v>30</v>
      </c>
    </row>
    <row r="24" ht="15.75" customHeight="1"/>
    <row r="25" ht="60.0" customHeight="1">
      <c r="B25" s="50" t="s">
        <v>151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5:D25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26.0"/>
    <col customWidth="1" min="4" max="4" width="12.0"/>
    <col customWidth="1" min="5" max="5" width="22.0"/>
    <col customWidth="1" min="6" max="7" width="12.0"/>
    <col customWidth="1" min="8" max="26" width="8.71"/>
  </cols>
  <sheetData>
    <row r="1" ht="39.75" customHeight="1">
      <c r="A1" s="20" t="s">
        <v>152</v>
      </c>
      <c r="B1" s="20" t="s">
        <v>153</v>
      </c>
      <c r="C1" s="20" t="s">
        <v>154</v>
      </c>
      <c r="D1" s="20" t="s">
        <v>155</v>
      </c>
      <c r="E1" s="20" t="s">
        <v>156</v>
      </c>
      <c r="F1" s="20" t="s">
        <v>157</v>
      </c>
      <c r="G1" s="20" t="s">
        <v>158</v>
      </c>
    </row>
    <row r="2">
      <c r="A2" s="21" t="s">
        <v>159</v>
      </c>
      <c r="B2" s="39" t="s">
        <v>160</v>
      </c>
      <c r="C2" s="39" t="s">
        <v>75</v>
      </c>
      <c r="D2" s="21" t="s">
        <v>25</v>
      </c>
      <c r="E2" s="39" t="s">
        <v>76</v>
      </c>
      <c r="F2" s="21" t="s">
        <v>91</v>
      </c>
      <c r="G2" s="21" t="s">
        <v>77</v>
      </c>
    </row>
    <row r="3">
      <c r="A3" s="21" t="s">
        <v>161</v>
      </c>
      <c r="B3" s="39" t="s">
        <v>162</v>
      </c>
      <c r="C3" s="39" t="s">
        <v>79</v>
      </c>
      <c r="D3" s="21" t="s">
        <v>24</v>
      </c>
      <c r="E3" s="39" t="s">
        <v>80</v>
      </c>
      <c r="F3" s="21" t="s">
        <v>91</v>
      </c>
      <c r="G3" s="21" t="s">
        <v>77</v>
      </c>
    </row>
    <row r="4">
      <c r="A4" s="21" t="s">
        <v>163</v>
      </c>
      <c r="B4" s="39" t="s">
        <v>81</v>
      </c>
      <c r="C4" s="39" t="s">
        <v>82</v>
      </c>
      <c r="D4" s="21" t="s">
        <v>23</v>
      </c>
      <c r="E4" s="39" t="s">
        <v>83</v>
      </c>
      <c r="F4" s="21" t="s">
        <v>91</v>
      </c>
      <c r="G4" s="21" t="s">
        <v>77</v>
      </c>
    </row>
    <row r="5">
      <c r="A5" s="21" t="s">
        <v>164</v>
      </c>
      <c r="B5" s="39" t="s">
        <v>84</v>
      </c>
      <c r="C5" s="39" t="s">
        <v>85</v>
      </c>
      <c r="D5" s="21" t="s">
        <v>20</v>
      </c>
      <c r="E5" s="39" t="s">
        <v>86</v>
      </c>
      <c r="F5" s="21" t="s">
        <v>91</v>
      </c>
      <c r="G5" s="21" t="s">
        <v>77</v>
      </c>
    </row>
    <row r="6">
      <c r="A6" s="21" t="s">
        <v>165</v>
      </c>
      <c r="B6" s="39" t="s">
        <v>87</v>
      </c>
      <c r="C6" s="39" t="s">
        <v>166</v>
      </c>
      <c r="D6" s="21" t="s">
        <v>25</v>
      </c>
      <c r="E6" s="39" t="s">
        <v>83</v>
      </c>
      <c r="F6" s="21" t="s">
        <v>91</v>
      </c>
      <c r="G6" s="21" t="s">
        <v>77</v>
      </c>
    </row>
    <row r="7">
      <c r="A7" s="21" t="s">
        <v>167</v>
      </c>
      <c r="B7" s="39" t="s">
        <v>89</v>
      </c>
      <c r="C7" s="39" t="s">
        <v>90</v>
      </c>
      <c r="D7" s="21" t="s">
        <v>21</v>
      </c>
      <c r="E7" s="39" t="s">
        <v>83</v>
      </c>
      <c r="F7" s="21" t="s">
        <v>91</v>
      </c>
      <c r="G7" s="21" t="s">
        <v>91</v>
      </c>
    </row>
    <row r="8">
      <c r="A8" s="21" t="s">
        <v>168</v>
      </c>
      <c r="B8" s="39" t="s">
        <v>169</v>
      </c>
      <c r="C8" s="39" t="s">
        <v>93</v>
      </c>
      <c r="D8" s="21" t="s">
        <v>23</v>
      </c>
      <c r="E8" s="39" t="s">
        <v>94</v>
      </c>
      <c r="F8" s="21" t="s">
        <v>91</v>
      </c>
      <c r="G8" s="21" t="s">
        <v>77</v>
      </c>
    </row>
    <row r="9">
      <c r="A9" s="21" t="s">
        <v>170</v>
      </c>
      <c r="B9" s="39" t="s">
        <v>171</v>
      </c>
      <c r="C9" s="39" t="s">
        <v>96</v>
      </c>
      <c r="D9" s="21" t="s">
        <v>20</v>
      </c>
      <c r="E9" s="39" t="s">
        <v>76</v>
      </c>
      <c r="F9" s="21" t="s">
        <v>91</v>
      </c>
      <c r="G9" s="21" t="s">
        <v>77</v>
      </c>
    </row>
    <row r="10">
      <c r="A10" s="21" t="s">
        <v>172</v>
      </c>
      <c r="B10" s="39" t="s">
        <v>173</v>
      </c>
      <c r="C10" s="39" t="s">
        <v>98</v>
      </c>
      <c r="D10" s="21" t="s">
        <v>22</v>
      </c>
      <c r="E10" s="39" t="s">
        <v>83</v>
      </c>
      <c r="F10" s="21" t="s">
        <v>91</v>
      </c>
      <c r="G10" s="21" t="s">
        <v>77</v>
      </c>
    </row>
    <row r="11">
      <c r="A11" s="21" t="s">
        <v>174</v>
      </c>
      <c r="B11" s="39" t="s">
        <v>99</v>
      </c>
      <c r="C11" s="39" t="s">
        <v>100</v>
      </c>
      <c r="D11" s="21" t="s">
        <v>26</v>
      </c>
      <c r="E11" s="39" t="s">
        <v>76</v>
      </c>
      <c r="F11" s="21" t="s">
        <v>91</v>
      </c>
      <c r="G11" s="21" t="s">
        <v>77</v>
      </c>
    </row>
    <row r="12">
      <c r="A12" s="21" t="s">
        <v>175</v>
      </c>
      <c r="B12" s="39" t="s">
        <v>101</v>
      </c>
      <c r="C12" s="39" t="s">
        <v>102</v>
      </c>
      <c r="D12" s="21" t="s">
        <v>24</v>
      </c>
      <c r="E12" s="39" t="s">
        <v>80</v>
      </c>
      <c r="F12" s="21" t="s">
        <v>91</v>
      </c>
      <c r="G12" s="21" t="s">
        <v>77</v>
      </c>
    </row>
    <row r="13">
      <c r="A13" s="21" t="s">
        <v>176</v>
      </c>
      <c r="B13" s="39" t="s">
        <v>177</v>
      </c>
      <c r="C13" s="39" t="s">
        <v>104</v>
      </c>
      <c r="D13" s="21" t="s">
        <v>24</v>
      </c>
      <c r="E13" s="39" t="s">
        <v>86</v>
      </c>
      <c r="F13" s="21" t="s">
        <v>91</v>
      </c>
      <c r="G13" s="21" t="s">
        <v>77</v>
      </c>
    </row>
    <row r="14">
      <c r="A14" s="21" t="s">
        <v>178</v>
      </c>
      <c r="B14" s="39" t="s">
        <v>105</v>
      </c>
      <c r="C14" s="39" t="s">
        <v>106</v>
      </c>
      <c r="D14" s="21" t="s">
        <v>22</v>
      </c>
      <c r="E14" s="39" t="s">
        <v>80</v>
      </c>
      <c r="F14" s="21" t="s">
        <v>91</v>
      </c>
      <c r="G14" s="21" t="s">
        <v>91</v>
      </c>
    </row>
    <row r="15">
      <c r="A15" s="21" t="s">
        <v>179</v>
      </c>
      <c r="B15" s="39" t="s">
        <v>107</v>
      </c>
      <c r="C15" s="39" t="s">
        <v>108</v>
      </c>
      <c r="D15" s="21" t="s">
        <v>24</v>
      </c>
      <c r="E15" s="39" t="s">
        <v>94</v>
      </c>
      <c r="F15" s="21" t="s">
        <v>91</v>
      </c>
      <c r="G15" s="21" t="s">
        <v>77</v>
      </c>
    </row>
    <row r="16">
      <c r="A16" s="21" t="s">
        <v>180</v>
      </c>
      <c r="B16" s="39" t="s">
        <v>109</v>
      </c>
      <c r="C16" s="39" t="s">
        <v>110</v>
      </c>
      <c r="D16" s="21" t="s">
        <v>23</v>
      </c>
      <c r="E16" s="39" t="s">
        <v>86</v>
      </c>
      <c r="F16" s="21" t="s">
        <v>91</v>
      </c>
      <c r="G16" s="21" t="s">
        <v>91</v>
      </c>
    </row>
    <row r="17">
      <c r="A17" s="21" t="s">
        <v>181</v>
      </c>
      <c r="B17" s="39" t="s">
        <v>111</v>
      </c>
      <c r="C17" s="39" t="s">
        <v>112</v>
      </c>
      <c r="D17" s="21" t="s">
        <v>23</v>
      </c>
      <c r="E17" s="39" t="s">
        <v>80</v>
      </c>
      <c r="F17" s="21" t="s">
        <v>91</v>
      </c>
      <c r="G17" s="21" t="s">
        <v>77</v>
      </c>
    </row>
    <row r="18">
      <c r="A18" s="21" t="s">
        <v>182</v>
      </c>
      <c r="B18" s="39" t="s">
        <v>113</v>
      </c>
      <c r="C18" s="39" t="s">
        <v>114</v>
      </c>
      <c r="D18" s="21" t="s">
        <v>25</v>
      </c>
      <c r="E18" s="39" t="s">
        <v>94</v>
      </c>
      <c r="F18" s="21" t="s">
        <v>91</v>
      </c>
      <c r="G18" s="21" t="s">
        <v>77</v>
      </c>
    </row>
    <row r="19">
      <c r="A19" s="21" t="s">
        <v>183</v>
      </c>
      <c r="B19" s="39" t="s">
        <v>115</v>
      </c>
      <c r="C19" s="39" t="s">
        <v>116</v>
      </c>
      <c r="D19" s="21" t="s">
        <v>24</v>
      </c>
      <c r="E19" s="39" t="s">
        <v>86</v>
      </c>
      <c r="F19" s="21" t="s">
        <v>91</v>
      </c>
      <c r="G19" s="21" t="s">
        <v>91</v>
      </c>
    </row>
    <row r="20">
      <c r="A20" s="21" t="s">
        <v>184</v>
      </c>
      <c r="B20" s="39" t="s">
        <v>117</v>
      </c>
      <c r="C20" s="39" t="s">
        <v>118</v>
      </c>
      <c r="D20" s="21" t="s">
        <v>23</v>
      </c>
      <c r="E20" s="39" t="s">
        <v>80</v>
      </c>
      <c r="F20" s="21" t="s">
        <v>91</v>
      </c>
      <c r="G20" s="21" t="s">
        <v>77</v>
      </c>
    </row>
    <row r="21" ht="15.75" customHeight="1">
      <c r="A21" s="21" t="s">
        <v>185</v>
      </c>
      <c r="B21" s="39" t="s">
        <v>119</v>
      </c>
      <c r="C21" s="39" t="s">
        <v>120</v>
      </c>
      <c r="D21" s="21" t="s">
        <v>22</v>
      </c>
      <c r="E21" s="39" t="s">
        <v>83</v>
      </c>
      <c r="F21" s="21" t="s">
        <v>91</v>
      </c>
      <c r="G21" s="21" t="s">
        <v>91</v>
      </c>
    </row>
    <row r="22" ht="15.75" customHeight="1">
      <c r="A22" s="21" t="s">
        <v>186</v>
      </c>
      <c r="B22" s="39" t="s">
        <v>121</v>
      </c>
      <c r="C22" s="39" t="s">
        <v>122</v>
      </c>
      <c r="D22" s="21" t="s">
        <v>20</v>
      </c>
      <c r="E22" s="39" t="s">
        <v>86</v>
      </c>
      <c r="F22" s="21" t="s">
        <v>91</v>
      </c>
      <c r="G22" s="21" t="s">
        <v>77</v>
      </c>
    </row>
    <row r="23" ht="15.75" customHeight="1">
      <c r="A23" s="21" t="s">
        <v>187</v>
      </c>
      <c r="B23" s="39" t="s">
        <v>123</v>
      </c>
      <c r="C23" s="39" t="s">
        <v>124</v>
      </c>
      <c r="D23" s="21" t="s">
        <v>22</v>
      </c>
      <c r="E23" s="39" t="s">
        <v>80</v>
      </c>
      <c r="F23" s="21" t="s">
        <v>91</v>
      </c>
      <c r="G23" s="21" t="s">
        <v>77</v>
      </c>
    </row>
    <row r="24" ht="15.75" customHeight="1">
      <c r="A24" s="21" t="s">
        <v>188</v>
      </c>
      <c r="B24" s="39" t="s">
        <v>189</v>
      </c>
      <c r="C24" s="39" t="s">
        <v>126</v>
      </c>
      <c r="D24" s="21" t="s">
        <v>24</v>
      </c>
      <c r="E24" s="39" t="s">
        <v>94</v>
      </c>
      <c r="F24" s="21" t="s">
        <v>91</v>
      </c>
      <c r="G24" s="21" t="s">
        <v>91</v>
      </c>
    </row>
    <row r="25" ht="15.75" customHeight="1">
      <c r="A25" s="21" t="s">
        <v>190</v>
      </c>
      <c r="B25" s="39" t="s">
        <v>127</v>
      </c>
      <c r="C25" s="39" t="s">
        <v>128</v>
      </c>
      <c r="D25" s="21" t="s">
        <v>23</v>
      </c>
      <c r="E25" s="39" t="s">
        <v>94</v>
      </c>
      <c r="F25" s="21" t="s">
        <v>91</v>
      </c>
      <c r="G25" s="21" t="s">
        <v>77</v>
      </c>
    </row>
    <row r="26" ht="15.75" customHeight="1">
      <c r="A26" s="21" t="s">
        <v>191</v>
      </c>
      <c r="B26" s="39" t="s">
        <v>129</v>
      </c>
      <c r="C26" s="39" t="s">
        <v>130</v>
      </c>
      <c r="D26" s="21" t="s">
        <v>23</v>
      </c>
      <c r="E26" s="39" t="s">
        <v>80</v>
      </c>
      <c r="F26" s="21" t="s">
        <v>91</v>
      </c>
      <c r="G26" s="21" t="s">
        <v>77</v>
      </c>
    </row>
    <row r="27" ht="15.75" customHeight="1">
      <c r="A27" s="21" t="s">
        <v>192</v>
      </c>
      <c r="B27" s="39" t="s">
        <v>193</v>
      </c>
      <c r="C27" s="39" t="s">
        <v>132</v>
      </c>
      <c r="D27" s="21" t="s">
        <v>23</v>
      </c>
      <c r="E27" s="39" t="s">
        <v>83</v>
      </c>
      <c r="F27" s="21" t="s">
        <v>91</v>
      </c>
      <c r="G27" s="21" t="s">
        <v>91</v>
      </c>
    </row>
    <row r="28" ht="15.75" customHeight="1">
      <c r="A28" s="21" t="s">
        <v>194</v>
      </c>
      <c r="B28" s="39" t="s">
        <v>133</v>
      </c>
      <c r="C28" s="39" t="s">
        <v>134</v>
      </c>
      <c r="D28" s="21" t="s">
        <v>22</v>
      </c>
      <c r="E28" s="39" t="s">
        <v>86</v>
      </c>
      <c r="F28" s="21" t="s">
        <v>91</v>
      </c>
      <c r="G28" s="21" t="s">
        <v>77</v>
      </c>
    </row>
    <row r="29" ht="15.75" customHeight="1">
      <c r="A29" s="21" t="s">
        <v>195</v>
      </c>
      <c r="B29" s="39" t="s">
        <v>135</v>
      </c>
      <c r="C29" s="39" t="s">
        <v>136</v>
      </c>
      <c r="D29" s="21" t="s">
        <v>24</v>
      </c>
      <c r="E29" s="39" t="s">
        <v>76</v>
      </c>
      <c r="F29" s="21" t="s">
        <v>91</v>
      </c>
      <c r="G29" s="21" t="s">
        <v>77</v>
      </c>
    </row>
    <row r="30" ht="15.75" customHeight="1">
      <c r="A30" s="21" t="s">
        <v>196</v>
      </c>
      <c r="B30" s="39" t="s">
        <v>197</v>
      </c>
      <c r="C30" s="39" t="s">
        <v>198</v>
      </c>
      <c r="D30" s="21" t="s">
        <v>21</v>
      </c>
      <c r="E30" s="39" t="s">
        <v>80</v>
      </c>
      <c r="F30" s="21" t="s">
        <v>91</v>
      </c>
      <c r="G30" s="21" t="s">
        <v>77</v>
      </c>
    </row>
    <row r="31" ht="15.75" customHeight="1">
      <c r="A31" s="21" t="s">
        <v>199</v>
      </c>
      <c r="B31" s="39" t="s">
        <v>200</v>
      </c>
      <c r="C31" s="39" t="s">
        <v>140</v>
      </c>
      <c r="D31" s="21" t="s">
        <v>25</v>
      </c>
      <c r="E31" s="39" t="s">
        <v>80</v>
      </c>
      <c r="F31" s="21" t="s">
        <v>91</v>
      </c>
      <c r="G31" s="21" t="s">
        <v>77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2026-07-15T19:49:04Z</dcterms:created>
  <dc:creator>openpyxl</dc:creator>
</cp:coreProperties>
</file>